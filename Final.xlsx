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Courses\PracticeExcel\Pantech_data_&amp;_Projects\Raw_data\Data\"/>
    </mc:Choice>
  </mc:AlternateContent>
  <xr:revisionPtr revIDLastSave="0" documentId="13_ncr:1_{4706001D-49E2-4C81-A8A6-11CAD7F0DD78}" xr6:coauthVersionLast="47" xr6:coauthVersionMax="47" xr10:uidLastSave="{00000000-0000-0000-0000-000000000000}"/>
  <bookViews>
    <workbookView xWindow="-120" yWindow="-120" windowWidth="20730" windowHeight="11160" activeTab="2" xr2:uid="{00000000-000D-0000-FFFF-FFFF00000000}"/>
  </bookViews>
  <sheets>
    <sheet name="mockup" sheetId="1" r:id="rId1"/>
    <sheet name="Pivot" sheetId="2" r:id="rId2"/>
    <sheet name="Dashboard" sheetId="3" r:id="rId3"/>
  </sheets>
  <definedNames>
    <definedName name="_xlchart.v1.0" hidden="1">Pivot!$O$91:$O$95</definedName>
    <definedName name="_xlchart.v1.1" hidden="1">Pivot!$P$90</definedName>
    <definedName name="_xlchart.v1.2" hidden="1">Pivot!$P$91:$P$95</definedName>
    <definedName name="_xlnm.Print_Area" localSheetId="2">Dashboard!$A$1:$Q$30</definedName>
    <definedName name="Slicer_Category">#N/A</definedName>
    <definedName name="Slicer_Parking?">#N/A</definedName>
    <definedName name="top.or.bottom">Pivot!$M$90</definedName>
  </definedNames>
  <calcPr calcId="191029"/>
  <pivotCaches>
    <pivotCache cacheId="0" r:id="rId4"/>
    <pivotCache cacheId="17" r:id="rId5"/>
    <pivotCache cacheId="20" r:id="rId6"/>
    <pivotCache cacheId="23" r:id="rId7"/>
    <pivotCache cacheId="26" r:id="rId8"/>
    <pivotCache cacheId="29"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b33e05e0-651d-4f8d-8396-e51aefea2e08" name="Customers" connection="Query - Customers"/>
          <x15:modelTable id="fctSales_379d9e7c-4a4d-4cd7-ad15-3bc2f443dc9e" name="fctSales" connection="Query - fctSales"/>
          <x15:modelTable id="Products_9158d702-b7f4-416e-a49e-fe3074da2cdb" name="Products" connection="Query - Products"/>
          <x15:modelTable id="Stores_516d2b4b-45c7-417a-8fdf-a49552362b6f" name="Stores" connection="Query - Stores"/>
        </x15:modelTables>
        <x15:modelRelationships>
          <x15:modelRelationship fromTable="fctSales" fromColumn="Cust ID" toTable="Customers" toColumn="Cust ID"/>
          <x15:modelRelationship fromTable="fctSales" fromColumn="Product ID" toTable="Products" toColumn="Product ID"/>
          <x15:modelRelationship fromTable="fctSales" fromColumn="Store ID" toTable="Stores" toColumn="Store ID"/>
        </x15:modelRelationships>
        <x15:extLst>
          <ext xmlns:x16="http://schemas.microsoft.com/office/spreadsheetml/2014/11/main" uri="{9835A34E-60A6-4A7C-AAB8-D5F71C897F49}">
            <x16:modelTimeGroupings>
              <x16:modelTimeGrouping tableName="fct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9" i="2" l="1"/>
  <c r="B7" i="3" s="1"/>
  <c r="I8" i="2"/>
  <c r="B6" i="3" s="1"/>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32"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M90" i="2"/>
  <c r="P92" i="2" s="1"/>
  <c r="C13" i="3"/>
  <c r="D13" i="3"/>
  <c r="F13" i="3"/>
  <c r="R46" i="2"/>
  <c r="C15" i="3" s="1"/>
  <c r="S46" i="2"/>
  <c r="T46" i="2"/>
  <c r="R47" i="2"/>
  <c r="C16" i="3" s="1"/>
  <c r="S47" i="2"/>
  <c r="T47" i="2"/>
  <c r="R48" i="2"/>
  <c r="C17" i="3" s="1"/>
  <c r="S48" i="2"/>
  <c r="D17" i="3" s="1"/>
  <c r="T48" i="2"/>
  <c r="R49" i="2"/>
  <c r="C18" i="3" s="1"/>
  <c r="S49" i="2"/>
  <c r="D18" i="3" s="1"/>
  <c r="T49" i="2"/>
  <c r="R50" i="2"/>
  <c r="C19" i="3" s="1"/>
  <c r="S50" i="2"/>
  <c r="T50" i="2"/>
  <c r="R51" i="2"/>
  <c r="C20" i="3" s="1"/>
  <c r="S51" i="2"/>
  <c r="T51" i="2"/>
  <c r="R52" i="2"/>
  <c r="C21" i="3" s="1"/>
  <c r="S52" i="2"/>
  <c r="D21" i="3" s="1"/>
  <c r="T52" i="2"/>
  <c r="R53" i="2"/>
  <c r="C22" i="3" s="1"/>
  <c r="S53" i="2"/>
  <c r="D22" i="3" s="1"/>
  <c r="T53" i="2"/>
  <c r="R54" i="2"/>
  <c r="C23" i="3" s="1"/>
  <c r="S54" i="2"/>
  <c r="T54" i="2"/>
  <c r="R55" i="2"/>
  <c r="C24" i="3" s="1"/>
  <c r="S55" i="2"/>
  <c r="T55" i="2"/>
  <c r="R56" i="2"/>
  <c r="C25" i="3" s="1"/>
  <c r="S56" i="2"/>
  <c r="D25" i="3" s="1"/>
  <c r="T56" i="2"/>
  <c r="R57" i="2"/>
  <c r="C26" i="3" s="1"/>
  <c r="S57" i="2"/>
  <c r="D26" i="3" s="1"/>
  <c r="T57" i="2"/>
  <c r="R58" i="2"/>
  <c r="C27" i="3" s="1"/>
  <c r="S58" i="2"/>
  <c r="T58" i="2"/>
  <c r="R59" i="2"/>
  <c r="C28" i="3" s="1"/>
  <c r="S59" i="2"/>
  <c r="T59" i="2"/>
  <c r="T45" i="2"/>
  <c r="S45" i="2"/>
  <c r="R45" i="2"/>
  <c r="C14" i="3" s="1"/>
  <c r="U45" i="2" l="1"/>
  <c r="F14" i="3" s="1"/>
  <c r="U58" i="2"/>
  <c r="F27" i="3" s="1"/>
  <c r="U54" i="2"/>
  <c r="F23" i="3" s="1"/>
  <c r="U50" i="2"/>
  <c r="F19" i="3" s="1"/>
  <c r="U46" i="2"/>
  <c r="F15" i="3" s="1"/>
  <c r="U59" i="2"/>
  <c r="F28" i="3" s="1"/>
  <c r="U55" i="2"/>
  <c r="F24" i="3" s="1"/>
  <c r="U47" i="2"/>
  <c r="F16" i="3" s="1"/>
  <c r="D14" i="3"/>
  <c r="U51" i="2"/>
  <c r="F20" i="3" s="1"/>
  <c r="U56" i="2"/>
  <c r="F25" i="3" s="1"/>
  <c r="U52" i="2"/>
  <c r="F21" i="3" s="1"/>
  <c r="U48" i="2"/>
  <c r="F17" i="3" s="1"/>
  <c r="D27" i="3"/>
  <c r="D23" i="3"/>
  <c r="D19" i="3"/>
  <c r="D15" i="3"/>
  <c r="U57" i="2"/>
  <c r="F26" i="3" s="1"/>
  <c r="U53" i="2"/>
  <c r="F22" i="3" s="1"/>
  <c r="U49" i="2"/>
  <c r="F18" i="3" s="1"/>
  <c r="D28" i="3"/>
  <c r="D24" i="3"/>
  <c r="D20" i="3"/>
  <c r="D16" i="3"/>
  <c r="P1" i="3"/>
  <c r="P95" i="2"/>
  <c r="P93" i="2"/>
  <c r="P100" i="2"/>
  <c r="I14" i="3" s="1"/>
  <c r="P91" i="2"/>
  <c r="O94" i="2"/>
  <c r="O92" i="2"/>
  <c r="O95" i="2"/>
  <c r="O93" i="2"/>
  <c r="O91" i="2"/>
  <c r="P94" i="2"/>
  <c r="G5" i="3"/>
  <c r="K5" i="3"/>
  <c r="O5" i="3"/>
  <c r="J2" i="2"/>
  <c r="G6" i="3" s="1"/>
  <c r="K2" i="2"/>
  <c r="K6" i="3" s="1"/>
  <c r="L2" i="2"/>
  <c r="O6" i="3" s="1"/>
  <c r="J3" i="2"/>
  <c r="G7" i="3" s="1"/>
  <c r="K3" i="2"/>
  <c r="K7" i="3" s="1"/>
  <c r="L3" i="2"/>
  <c r="O7" i="3" s="1"/>
  <c r="I2" i="2"/>
  <c r="C6" i="3" s="1"/>
  <c r="I3" i="2"/>
  <c r="C7" i="3" s="1"/>
  <c r="P96" i="2" l="1"/>
  <c r="P97" i="2"/>
  <c r="P101" i="2" s="1"/>
  <c r="I16" i="3" s="1"/>
  <c r="K4" i="2"/>
  <c r="L6" i="3" s="1"/>
  <c r="I4" i="2"/>
  <c r="D6" i="3" s="1"/>
  <c r="J4" i="2"/>
  <c r="H6" i="3" s="1"/>
  <c r="L4" i="2"/>
  <c r="P6"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ustomers" description="Connection to the 'Customers' query in the workbook." type="100" refreshedVersion="6" minRefreshableVersion="5">
    <extLst>
      <ext xmlns:x15="http://schemas.microsoft.com/office/spreadsheetml/2010/11/main" uri="{DE250136-89BD-433C-8126-D09CA5730AF9}">
        <x15:connection id="c5cdf8f1-8004-40c2-a750-08221779f845"/>
      </ext>
    </extLst>
  </connection>
  <connection id="2" xr16:uid="{00000000-0015-0000-FFFF-FFFF01000000}" name="Query - fctSales" description="Connection to the 'fctSales' query in the workbook." type="100" refreshedVersion="6" minRefreshableVersion="5">
    <extLst>
      <ext xmlns:x15="http://schemas.microsoft.com/office/spreadsheetml/2010/11/main" uri="{DE250136-89BD-433C-8126-D09CA5730AF9}">
        <x15:connection id="5db4e287-4534-4563-b6f7-c4f28a4a0f17"/>
      </ext>
    </extLst>
  </connection>
  <connection id="3" xr16:uid="{00000000-0015-0000-FFFF-FFFF02000000}" name="Query - Products" description="Connection to the 'Products' query in the workbook." type="100" refreshedVersion="6" minRefreshableVersion="5">
    <extLst>
      <ext xmlns:x15="http://schemas.microsoft.com/office/spreadsheetml/2010/11/main" uri="{DE250136-89BD-433C-8126-D09CA5730AF9}">
        <x15:connection id="e1b3ce2d-923f-4991-b8e2-8b51559c8210"/>
      </ext>
    </extLst>
  </connection>
  <connection id="4" xr16:uid="{00000000-0015-0000-FFFF-FFFF03000000}" name="Query - Stores" description="Connection to the 'Stores' query in the workbook." type="100" refreshedVersion="6" minRefreshableVersion="5">
    <extLst>
      <ext xmlns:x15="http://schemas.microsoft.com/office/spreadsheetml/2010/11/main" uri="{DE250136-89BD-433C-8126-D09CA5730AF9}">
        <x15:connection id="da55f545-4ee0-43f6-85c2-d23694f78f27"/>
      </ext>
    </extLst>
  </connection>
  <connection id="5" xr16:uid="{00000000-0015-0000-FFFF-FFFF04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<sst xmlns="http://schemas.openxmlformats.org/spreadsheetml/2006/main" count="119" uniqueCount="73">
  <si>
    <t>Grand Total</t>
  </si>
  <si>
    <t>2017</t>
  </si>
  <si>
    <t>May</t>
  </si>
  <si>
    <t>Jun</t>
  </si>
  <si>
    <t>Jul</t>
  </si>
  <si>
    <t>Aug</t>
  </si>
  <si>
    <t>Sep</t>
  </si>
  <si>
    <t>Oct</t>
  </si>
  <si>
    <t>Nov</t>
  </si>
  <si>
    <t>Dec</t>
  </si>
  <si>
    <t>2018</t>
  </si>
  <si>
    <t>Jan</t>
  </si>
  <si>
    <t>Feb</t>
  </si>
  <si>
    <t>Mar</t>
  </si>
  <si>
    <t>Apr</t>
  </si>
  <si>
    <t>Sum of Amount</t>
  </si>
  <si>
    <t>Sum of Quantity</t>
  </si>
  <si>
    <t>Count of Cust ID</t>
  </si>
  <si>
    <t>Distinct Count of Cust ID2</t>
  </si>
  <si>
    <t>Date (Year)</t>
  </si>
  <si>
    <t>Date (Month)</t>
  </si>
  <si>
    <t>Amount</t>
  </si>
  <si>
    <t>Quantity</t>
  </si>
  <si>
    <t>Orders</t>
  </si>
  <si>
    <t>Customers</t>
  </si>
  <si>
    <t>Now</t>
  </si>
  <si>
    <t>Then</t>
  </si>
  <si>
    <t>Variance</t>
  </si>
  <si>
    <t>Trend</t>
  </si>
  <si>
    <t>Row Labels</t>
  </si>
  <si>
    <t>Ballarat</t>
  </si>
  <si>
    <t>Bendigo</t>
  </si>
  <si>
    <t>Cairns</t>
  </si>
  <si>
    <t>Canberra</t>
  </si>
  <si>
    <t>Central Coast</t>
  </si>
  <si>
    <t>Darwin</t>
  </si>
  <si>
    <t>Geelong</t>
  </si>
  <si>
    <t>Gold Coast</t>
  </si>
  <si>
    <t>Hobart</t>
  </si>
  <si>
    <t>Mackay</t>
  </si>
  <si>
    <t>Newcastle</t>
  </si>
  <si>
    <t>Rockhampton</t>
  </si>
  <si>
    <t>Sunshine Coast</t>
  </si>
  <si>
    <t>Townsville</t>
  </si>
  <si>
    <t>Wollongong</t>
  </si>
  <si>
    <t>Column Labels</t>
  </si>
  <si>
    <t>Store</t>
  </si>
  <si>
    <t>% Var</t>
  </si>
  <si>
    <t>Product</t>
  </si>
  <si>
    <t>Rest of them</t>
  </si>
  <si>
    <t>Title</t>
  </si>
  <si>
    <t>Sub-title</t>
  </si>
  <si>
    <t>Pct of quantity</t>
  </si>
  <si>
    <t>Female</t>
  </si>
  <si>
    <t>Male</t>
  </si>
  <si>
    <t>Age</t>
  </si>
  <si>
    <t>Year Ago</t>
  </si>
  <si>
    <t>Business Dashboard</t>
  </si>
  <si>
    <t>Store Performance</t>
  </si>
  <si>
    <t>Product Performance</t>
  </si>
  <si>
    <t>Customer Demographics</t>
  </si>
  <si>
    <t>Filters</t>
  </si>
  <si>
    <t>Key Trends &amp; Variance</t>
  </si>
  <si>
    <t>Sprite</t>
  </si>
  <si>
    <t>Coke</t>
  </si>
  <si>
    <t>Chewy Cashews</t>
  </si>
  <si>
    <t>Fanta</t>
  </si>
  <si>
    <t>Fried Frozen Bananas</t>
  </si>
  <si>
    <t>Donuts in a box</t>
  </si>
  <si>
    <t>I can't believe this is cake</t>
  </si>
  <si>
    <t>Cake in a cup</t>
  </si>
  <si>
    <t>Wall nuts</t>
  </si>
  <si>
    <t>Lotta' Pie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</si>
</sst>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1" tint="0.499984740745262"/>
      <name val="Calibri"/>
      <family val="2"/>
      <scheme val="minor"/>
    </font>
    <font>
      <b/>
      <sz val="14"/>
      <color theme="1"/>
      <name val="Calibri"/>
      <family val="2"/>
      <scheme val="minor"/>
    </font>
    <font>
      <sz val="14"/>
      <color theme="1"/>
      <name val="Calibri"/>
      <family val="2"/>
      <scheme val="minor"/>
    </font>
    <font>
      <sz val="9"/>
      <color theme="1" tint="0.499984740745262"/>
      <name val="Calibri"/>
      <family val="2"/>
      <scheme val="minor"/>
    </font>
    <font>
      <sz val="26"/>
      <color theme="1"/>
      <name val="Segoe UI Light"/>
      <family val="2"/>
    </font>
    <font>
      <sz val="11"/>
      <color theme="1" tint="0.249977111117893"/>
      <name val="Calibri"/>
      <family val="2"/>
      <scheme val="minor"/>
    </font>
    <font>
      <sz val="8"/>
      <color rgb="FF000000"/>
      <name val="Segoe UI"/>
      <family val="2"/>
    </font>
  </fonts>
  <fills count="6">
    <fill>
      <patternFill patternType="none"/>
    </fill>
    <fill>
      <patternFill patternType="gray125"/>
    </fill>
    <fill>
      <patternFill patternType="solid">
        <fgColor theme="7"/>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249977111117893"/>
        <bgColor indexed="64"/>
      </patternFill>
    </fill>
  </fills>
  <borders count="14">
    <border>
      <left/>
      <right/>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0" fillId="0" borderId="0" xfId="0" pivotButton="1"/>
    <xf numFmtId="0" fontId="0" fillId="0" borderId="0" xfId="0" applyNumberFormat="1"/>
    <xf numFmtId="9" fontId="0" fillId="0" borderId="0" xfId="1" applyFont="1"/>
    <xf numFmtId="0" fontId="2" fillId="0" borderId="0" xfId="0" applyFont="1"/>
    <xf numFmtId="0" fontId="0" fillId="0" borderId="0" xfId="0" applyAlignment="1">
      <alignment horizontal="left"/>
    </xf>
    <xf numFmtId="164" fontId="0" fillId="0" borderId="0" xfId="0" applyNumberFormat="1"/>
    <xf numFmtId="0" fontId="0" fillId="2" borderId="0" xfId="0" applyFill="1"/>
    <xf numFmtId="0" fontId="7" fillId="2" borderId="0" xfId="0" applyFont="1" applyFill="1" applyAlignment="1">
      <alignment vertical="center"/>
    </xf>
    <xf numFmtId="164" fontId="4" fillId="4" borderId="3" xfId="0" applyNumberFormat="1" applyFont="1" applyFill="1" applyBorder="1"/>
    <xf numFmtId="165" fontId="3" fillId="4" borderId="4" xfId="1" applyNumberFormat="1" applyFont="1" applyFill="1" applyBorder="1"/>
    <xf numFmtId="164" fontId="3" fillId="4" borderId="3" xfId="0" applyNumberFormat="1" applyFont="1" applyFill="1" applyBorder="1"/>
    <xf numFmtId="0" fontId="0" fillId="4" borderId="4" xfId="0" applyFill="1" applyBorder="1"/>
    <xf numFmtId="0" fontId="0" fillId="0" borderId="7" xfId="0" applyBorder="1"/>
    <xf numFmtId="9" fontId="0" fillId="0" borderId="7" xfId="1" applyFont="1" applyBorder="1"/>
    <xf numFmtId="0" fontId="2" fillId="4" borderId="7" xfId="0" applyFont="1" applyFill="1" applyBorder="1"/>
    <xf numFmtId="0" fontId="2" fillId="4" borderId="7" xfId="0" applyFont="1" applyFill="1" applyBorder="1" applyAlignment="1">
      <alignment horizontal="right"/>
    </xf>
    <xf numFmtId="0" fontId="2" fillId="4" borderId="7" xfId="0" applyFont="1" applyFill="1" applyBorder="1" applyAlignment="1">
      <alignment horizontal="center"/>
    </xf>
    <xf numFmtId="3" fontId="4" fillId="4" borderId="10" xfId="0" applyNumberFormat="1" applyFont="1" applyFill="1" applyBorder="1"/>
    <xf numFmtId="165" fontId="3" fillId="4" borderId="11" xfId="1" applyNumberFormat="1" applyFont="1" applyFill="1" applyBorder="1"/>
    <xf numFmtId="3" fontId="3" fillId="4" borderId="10" xfId="0" applyNumberFormat="1" applyFont="1" applyFill="1" applyBorder="1"/>
    <xf numFmtId="0" fontId="0" fillId="4" borderId="11" xfId="0" applyFill="1" applyBorder="1"/>
    <xf numFmtId="0" fontId="8" fillId="2" borderId="0" xfId="0" applyFont="1" applyFill="1" applyAlignment="1">
      <alignment horizontal="right" vertical="center"/>
    </xf>
    <xf numFmtId="0" fontId="6" fillId="0" borderId="0" xfId="0" applyFont="1" applyAlignment="1">
      <alignment horizontal="right" vertical="center" indent="1"/>
    </xf>
    <xf numFmtId="0" fontId="6" fillId="0" borderId="0" xfId="0" applyFont="1"/>
    <xf numFmtId="0" fontId="5" fillId="5" borderId="0" xfId="0" applyFont="1" applyFill="1" applyAlignment="1">
      <alignment horizontal="center" vertical="center"/>
    </xf>
    <xf numFmtId="164" fontId="0" fillId="0" borderId="7" xfId="0" applyNumberFormat="1" applyBorder="1"/>
    <xf numFmtId="0" fontId="5" fillId="3" borderId="0" xfId="0" applyFont="1" applyFill="1" applyAlignment="1">
      <alignment horizontal="center" vertical="center"/>
    </xf>
    <xf numFmtId="0" fontId="6" fillId="0" borderId="0" xfId="0" applyFont="1" applyAlignment="1">
      <alignment horizontal="center" vertical="center"/>
    </xf>
    <xf numFmtId="0" fontId="2" fillId="4" borderId="1" xfId="0" applyFont="1" applyFill="1" applyBorder="1" applyAlignment="1">
      <alignment horizontal="center"/>
    </xf>
    <xf numFmtId="0" fontId="2" fillId="4" borderId="2"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12" xfId="0" applyFill="1" applyBorder="1" applyAlignment="1">
      <alignment horizontal="center"/>
    </xf>
    <xf numFmtId="0" fontId="0" fillId="4" borderId="13" xfId="0" applyFill="1" applyBorder="1" applyAlignment="1">
      <alignment horizontal="center"/>
    </xf>
    <xf numFmtId="0" fontId="2" fillId="2" borderId="0" xfId="0" applyFont="1" applyFill="1" applyAlignment="1">
      <alignment horizontal="center"/>
    </xf>
    <xf numFmtId="0" fontId="2" fillId="4" borderId="7" xfId="0" applyFont="1" applyFill="1" applyBorder="1" applyAlignment="1">
      <alignment horizontal="right"/>
    </xf>
  </cellXfs>
  <cellStyles count="2">
    <cellStyle name="Normal" xfId="0" builtinId="0"/>
    <cellStyle name="Percent" xfId="1" builtinId="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Pivot!$G$131</c:f>
              <c:strCache>
                <c:ptCount val="1"/>
                <c:pt idx="0">
                  <c:v>Female</c:v>
                </c:pt>
              </c:strCache>
            </c:strRef>
          </c:tx>
          <c:spPr>
            <a:solidFill>
              <a:schemeClr val="accent4"/>
            </a:solidFill>
            <a:ln>
              <a:noFill/>
            </a:ln>
            <a:effectLst/>
          </c:spPr>
          <c:invertIfNegative val="0"/>
          <c:cat>
            <c:numRef>
              <c:f>Pivot!$F$132:$F$167</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Pivot!$G$132:$G$167</c:f>
              <c:numCache>
                <c:formatCode>"$"\ #,##0</c:formatCode>
                <c:ptCount val="36"/>
                <c:pt idx="0">
                  <c:v>0</c:v>
                </c:pt>
                <c:pt idx="1">
                  <c:v>-5756.3</c:v>
                </c:pt>
                <c:pt idx="2">
                  <c:v>-5522.4000000000024</c:v>
                </c:pt>
                <c:pt idx="3">
                  <c:v>0</c:v>
                </c:pt>
                <c:pt idx="4">
                  <c:v>-6413.85</c:v>
                </c:pt>
                <c:pt idx="5">
                  <c:v>-8627.2000000000007</c:v>
                </c:pt>
                <c:pt idx="6">
                  <c:v>-11246.2</c:v>
                </c:pt>
                <c:pt idx="7">
                  <c:v>-16089.299999999996</c:v>
                </c:pt>
                <c:pt idx="8">
                  <c:v>-10269.499999999996</c:v>
                </c:pt>
                <c:pt idx="9">
                  <c:v>-38060.600000000013</c:v>
                </c:pt>
                <c:pt idx="10">
                  <c:v>-43885.900000000016</c:v>
                </c:pt>
                <c:pt idx="11">
                  <c:v>-36223.85</c:v>
                </c:pt>
                <c:pt idx="12">
                  <c:v>-63498.600000000013</c:v>
                </c:pt>
                <c:pt idx="13">
                  <c:v>-53442.049999999988</c:v>
                </c:pt>
                <c:pt idx="14">
                  <c:v>-59452.100000000042</c:v>
                </c:pt>
                <c:pt idx="15">
                  <c:v>-53183.200000000012</c:v>
                </c:pt>
                <c:pt idx="16">
                  <c:v>-88758.250000000073</c:v>
                </c:pt>
                <c:pt idx="17">
                  <c:v>-95882.900000000052</c:v>
                </c:pt>
                <c:pt idx="18">
                  <c:v>-62078.850000000071</c:v>
                </c:pt>
                <c:pt idx="19">
                  <c:v>-78270.949999999983</c:v>
                </c:pt>
                <c:pt idx="20">
                  <c:v>-77630.950000000055</c:v>
                </c:pt>
                <c:pt idx="21">
                  <c:v>-47753.199999999968</c:v>
                </c:pt>
                <c:pt idx="22">
                  <c:v>-33914.900000000016</c:v>
                </c:pt>
                <c:pt idx="23">
                  <c:v>-36559.399999999994</c:v>
                </c:pt>
                <c:pt idx="24">
                  <c:v>-33217.799999999996</c:v>
                </c:pt>
                <c:pt idx="25">
                  <c:v>-34258.850000000006</c:v>
                </c:pt>
                <c:pt idx="26">
                  <c:v>-28704.000000000007</c:v>
                </c:pt>
                <c:pt idx="27">
                  <c:v>-18486.000000000022</c:v>
                </c:pt>
                <c:pt idx="28">
                  <c:v>-14103.750000000002</c:v>
                </c:pt>
                <c:pt idx="29">
                  <c:v>-5653.9500000000025</c:v>
                </c:pt>
                <c:pt idx="30">
                  <c:v>0</c:v>
                </c:pt>
                <c:pt idx="31">
                  <c:v>-13720.499999999996</c:v>
                </c:pt>
                <c:pt idx="32">
                  <c:v>0</c:v>
                </c:pt>
                <c:pt idx="33">
                  <c:v>0</c:v>
                </c:pt>
                <c:pt idx="34">
                  <c:v>-2682.3999999999996</c:v>
                </c:pt>
                <c:pt idx="35">
                  <c:v>0</c:v>
                </c:pt>
              </c:numCache>
            </c:numRef>
          </c:val>
          <c:extLst>
            <c:ext xmlns:c16="http://schemas.microsoft.com/office/drawing/2014/chart" uri="{C3380CC4-5D6E-409C-BE32-E72D297353CC}">
              <c16:uniqueId val="{00000000-772A-4413-97E0-AFBE92E3F9FB}"/>
            </c:ext>
          </c:extLst>
        </c:ser>
        <c:ser>
          <c:idx val="1"/>
          <c:order val="1"/>
          <c:tx>
            <c:strRef>
              <c:f>Pivot!$H$131</c:f>
              <c:strCache>
                <c:ptCount val="1"/>
                <c:pt idx="0">
                  <c:v>Male</c:v>
                </c:pt>
              </c:strCache>
            </c:strRef>
          </c:tx>
          <c:spPr>
            <a:solidFill>
              <a:schemeClr val="accent3"/>
            </a:solidFill>
            <a:ln>
              <a:noFill/>
            </a:ln>
            <a:effectLst/>
          </c:spPr>
          <c:invertIfNegative val="0"/>
          <c:cat>
            <c:numRef>
              <c:f>Pivot!$F$132:$F$167</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Pivot!$H$132:$H$167</c:f>
              <c:numCache>
                <c:formatCode>"$"\ #,##0</c:formatCode>
                <c:ptCount val="36"/>
                <c:pt idx="0">
                  <c:v>8471.0999999999985</c:v>
                </c:pt>
                <c:pt idx="1">
                  <c:v>5010.2</c:v>
                </c:pt>
                <c:pt idx="2">
                  <c:v>2507.15</c:v>
                </c:pt>
                <c:pt idx="3">
                  <c:v>6612.9000000000015</c:v>
                </c:pt>
                <c:pt idx="4">
                  <c:v>9549.5999999999985</c:v>
                </c:pt>
                <c:pt idx="5">
                  <c:v>7533.5000000000009</c:v>
                </c:pt>
                <c:pt idx="6">
                  <c:v>9345.5499999999975</c:v>
                </c:pt>
                <c:pt idx="7">
                  <c:v>28807.799999999988</c:v>
                </c:pt>
                <c:pt idx="8">
                  <c:v>30344.449999999993</c:v>
                </c:pt>
                <c:pt idx="9">
                  <c:v>22581.300000000014</c:v>
                </c:pt>
                <c:pt idx="10">
                  <c:v>19264.499999999993</c:v>
                </c:pt>
                <c:pt idx="11">
                  <c:v>38676.300000000003</c:v>
                </c:pt>
                <c:pt idx="12">
                  <c:v>48508.500000000029</c:v>
                </c:pt>
                <c:pt idx="13">
                  <c:v>73319.150000000009</c:v>
                </c:pt>
                <c:pt idx="14">
                  <c:v>54782.449999999953</c:v>
                </c:pt>
                <c:pt idx="15">
                  <c:v>73463.299999999959</c:v>
                </c:pt>
                <c:pt idx="16">
                  <c:v>65295.299999999952</c:v>
                </c:pt>
                <c:pt idx="17">
                  <c:v>68417.95000000007</c:v>
                </c:pt>
                <c:pt idx="18">
                  <c:v>68072.799999999959</c:v>
                </c:pt>
                <c:pt idx="19">
                  <c:v>76619.099999999948</c:v>
                </c:pt>
                <c:pt idx="20">
                  <c:v>58939.749999999971</c:v>
                </c:pt>
                <c:pt idx="21">
                  <c:v>58603.100000000042</c:v>
                </c:pt>
                <c:pt idx="22">
                  <c:v>52122.000000000007</c:v>
                </c:pt>
                <c:pt idx="23">
                  <c:v>54871.699999999983</c:v>
                </c:pt>
                <c:pt idx="24">
                  <c:v>43456.350000000006</c:v>
                </c:pt>
                <c:pt idx="25">
                  <c:v>24069.300000000017</c:v>
                </c:pt>
                <c:pt idx="26">
                  <c:v>28772.7</c:v>
                </c:pt>
                <c:pt idx="27">
                  <c:v>20252.499999999996</c:v>
                </c:pt>
                <c:pt idx="28">
                  <c:v>4015.5999999999995</c:v>
                </c:pt>
                <c:pt idx="29">
                  <c:v>11808.000000000002</c:v>
                </c:pt>
                <c:pt idx="30">
                  <c:v>5755.9500000000016</c:v>
                </c:pt>
                <c:pt idx="31">
                  <c:v>12285.749999999995</c:v>
                </c:pt>
                <c:pt idx="32">
                  <c:v>3003.2999999999997</c:v>
                </c:pt>
                <c:pt idx="33">
                  <c:v>2513.1</c:v>
                </c:pt>
                <c:pt idx="34">
                  <c:v>0</c:v>
                </c:pt>
                <c:pt idx="35">
                  <c:v>4573.3</c:v>
                </c:pt>
              </c:numCache>
            </c:numRef>
          </c:val>
          <c:extLst>
            <c:ext xmlns:c16="http://schemas.microsoft.com/office/drawing/2014/chart" uri="{C3380CC4-5D6E-409C-BE32-E72D297353CC}">
              <c16:uniqueId val="{00000001-772A-4413-97E0-AFBE92E3F9FB}"/>
            </c:ext>
          </c:extLst>
        </c:ser>
        <c:dLbls>
          <c:showLegendKey val="0"/>
          <c:showVal val="0"/>
          <c:showCatName val="0"/>
          <c:showSerName val="0"/>
          <c:showPercent val="0"/>
          <c:showBubbleSize val="0"/>
        </c:dLbls>
        <c:gapWidth val="0"/>
        <c:overlap val="100"/>
        <c:axId val="773112879"/>
        <c:axId val="777312527"/>
      </c:barChart>
      <c:catAx>
        <c:axId val="773112879"/>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12527"/>
        <c:crosses val="autoZero"/>
        <c:auto val="1"/>
        <c:lblAlgn val="ctr"/>
        <c:lblOffset val="100"/>
        <c:noMultiLvlLbl val="0"/>
      </c:catAx>
      <c:valAx>
        <c:axId val="777312527"/>
        <c:scaling>
          <c:orientation val="minMax"/>
        </c:scaling>
        <c:delete val="0"/>
        <c:axPos val="t"/>
        <c:majorGridlines>
          <c:spPr>
            <a:ln w="9525" cap="flat" cmpd="sng" algn="ctr">
              <a:solidFill>
                <a:schemeClr val="tx1">
                  <a:lumMod val="15000"/>
                  <a:lumOff val="85000"/>
                </a:schemeClr>
              </a:solidFill>
              <a:round/>
            </a:ln>
            <a:effectLst/>
          </c:spPr>
        </c:majorGridlines>
        <c:numFmt formatCode="&quot;$&quot;#,&quot;k&quot;;&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1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39C992F7-0D6D-4CAA-9E16-74E352F43E23}">
          <cx:tx>
            <cx:txData>
              <cx:f>_xlchart.v1.1</cx:f>
              <cx:v>Quantity</cx:v>
            </cx:txData>
          </cx:tx>
          <cx:dataLabels pos="inEnd">
            <cx:visibility seriesName="0" categoryName="1" value="1"/>
            <cx:separator>, </cx:separator>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Pivot!$M$89" lockText="1" noThreeD="1"/>
</file>

<file path=xl/ctrlProps/ctrlProp2.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88900</xdr:colOff>
      <xdr:row>3</xdr:row>
      <xdr:rowOff>44450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609600" y="184150"/>
          <a:ext cx="6184900" cy="412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4</xdr:row>
      <xdr:rowOff>0</xdr:rowOff>
    </xdr:from>
    <xdr:to>
      <xdr:col>11</xdr:col>
      <xdr:colOff>88900</xdr:colOff>
      <xdr:row>6</xdr:row>
      <xdr:rowOff>44450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609600" y="736600"/>
          <a:ext cx="6184900" cy="41275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7</xdr:row>
      <xdr:rowOff>0</xdr:rowOff>
    </xdr:from>
    <xdr:to>
      <xdr:col>4</xdr:col>
      <xdr:colOff>19050</xdr:colOff>
      <xdr:row>18</xdr:row>
      <xdr:rowOff>165100</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609600" y="1289050"/>
          <a:ext cx="1847850" cy="21907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381000</xdr:colOff>
      <xdr:row>7</xdr:row>
      <xdr:rowOff>12700</xdr:rowOff>
    </xdr:from>
    <xdr:to>
      <xdr:col>7</xdr:col>
      <xdr:colOff>279400</xdr:colOff>
      <xdr:row>18</xdr:row>
      <xdr:rowOff>177800</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2819400" y="1301750"/>
          <a:ext cx="1727200" cy="21907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101600</xdr:colOff>
      <xdr:row>7</xdr:row>
      <xdr:rowOff>0</xdr:rowOff>
    </xdr:from>
    <xdr:to>
      <xdr:col>11</xdr:col>
      <xdr:colOff>0</xdr:colOff>
      <xdr:row>18</xdr:row>
      <xdr:rowOff>165100</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4978400" y="1289050"/>
          <a:ext cx="1727200" cy="21907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4</xdr:row>
      <xdr:rowOff>0</xdr:rowOff>
    </xdr:from>
    <xdr:to>
      <xdr:col>21</xdr:col>
      <xdr:colOff>10779</xdr:colOff>
      <xdr:row>9</xdr:row>
      <xdr:rowOff>0</xdr:rowOff>
    </xdr:to>
    <mc:AlternateContent xmlns:mc="http://schemas.openxmlformats.org/markup-compatibility/2006" xmlns:a14="http://schemas.microsoft.com/office/drawing/2010/main">
      <mc:Choice Requires="a14">
        <xdr:graphicFrame macro="">
          <xdr:nvGraphicFramePr>
            <xdr:cNvPr id="2" name="Parking?">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Parking?"/>
            </a:graphicData>
          </a:graphic>
        </xdr:graphicFrame>
      </mc:Choice>
      <mc:Fallback xmlns="">
        <xdr:sp macro="" textlink="">
          <xdr:nvSpPr>
            <xdr:cNvPr id="0" name=""/>
            <xdr:cNvSpPr>
              <a:spLocks noTextEdit="1"/>
            </xdr:cNvSpPr>
          </xdr:nvSpPr>
          <xdr:spPr>
            <a:xfrm>
              <a:off x="10406529" y="784412"/>
              <a:ext cx="1848544" cy="978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15</xdr:row>
      <xdr:rowOff>171824</xdr:rowOff>
    </xdr:from>
    <xdr:to>
      <xdr:col>11</xdr:col>
      <xdr:colOff>0</xdr:colOff>
      <xdr:row>27</xdr:row>
      <xdr:rowOff>171823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05325" y="3457949"/>
              <a:ext cx="1819275" cy="22859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8</xdr:col>
          <xdr:colOff>161925</xdr:colOff>
          <xdr:row>11</xdr:row>
          <xdr:rowOff>66675</xdr:rowOff>
        </xdr:from>
        <xdr:to>
          <xdr:col>9</xdr:col>
          <xdr:colOff>314325</xdr:colOff>
          <xdr:row>12</xdr:row>
          <xdr:rowOff>104775</xdr:rowOff>
        </xdr:to>
        <xdr:sp macro="" textlink="">
          <xdr:nvSpPr>
            <xdr:cNvPr id="3073" name="Option Button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257175</xdr:colOff>
          <xdr:row>11</xdr:row>
          <xdr:rowOff>28575</xdr:rowOff>
        </xdr:from>
        <xdr:to>
          <xdr:col>10</xdr:col>
          <xdr:colOff>847725</xdr:colOff>
          <xdr:row>12</xdr:row>
          <xdr:rowOff>95250</xdr:rowOff>
        </xdr:to>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Bottom</a:t>
              </a:r>
            </a:p>
          </xdr:txBody>
        </xdr:sp>
        <xdr:clientData fPrintsWithSheet="0"/>
      </xdr:twoCellAnchor>
    </mc:Choice>
    <mc:Fallback/>
  </mc:AlternateContent>
  <xdr:twoCellAnchor>
    <xdr:from>
      <xdr:col>12</xdr:col>
      <xdr:colOff>0</xdr:colOff>
      <xdr:row>13</xdr:row>
      <xdr:rowOff>0</xdr:rowOff>
    </xdr:from>
    <xdr:to>
      <xdr:col>16</xdr:col>
      <xdr:colOff>0</xdr:colOff>
      <xdr:row>28</xdr:row>
      <xdr:rowOff>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1493</xdr:colOff>
      <xdr:row>10</xdr:row>
      <xdr:rowOff>0</xdr:rowOff>
    </xdr:from>
    <xdr:to>
      <xdr:col>7</xdr:col>
      <xdr:colOff>0</xdr:colOff>
      <xdr:row>29</xdr:row>
      <xdr:rowOff>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782543" y="1971675"/>
          <a:ext cx="3332257" cy="3600450"/>
        </a:xfrm>
        <a:prstGeom prst="roundRect">
          <a:avLst>
            <a:gd name="adj" fmla="val 1224"/>
          </a:avLst>
        </a:prstGeom>
        <a:no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10</xdr:row>
      <xdr:rowOff>1</xdr:rowOff>
    </xdr:from>
    <xdr:to>
      <xdr:col>11</xdr:col>
      <xdr:colOff>0</xdr:colOff>
      <xdr:row>29</xdr:row>
      <xdr:rowOff>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4803588" y="1949825"/>
          <a:ext cx="1919941" cy="3548528"/>
        </a:xfrm>
        <a:prstGeom prst="roundRect">
          <a:avLst>
            <a:gd name="adj" fmla="val 1224"/>
          </a:avLst>
        </a:prstGeom>
        <a:no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454586</xdr:colOff>
      <xdr:row>10</xdr:row>
      <xdr:rowOff>0</xdr:rowOff>
    </xdr:from>
    <xdr:to>
      <xdr:col>16</xdr:col>
      <xdr:colOff>1</xdr:colOff>
      <xdr:row>29</xdr:row>
      <xdr:rowOff>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6845861" y="1971675"/>
          <a:ext cx="2279090" cy="3600450"/>
        </a:xfrm>
        <a:prstGeom prst="roundRect">
          <a:avLst>
            <a:gd name="adj" fmla="val 1224"/>
          </a:avLst>
        </a:prstGeom>
        <a:no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0</xdr:colOff>
      <xdr:row>10</xdr:row>
      <xdr:rowOff>0</xdr:rowOff>
    </xdr:from>
    <xdr:to>
      <xdr:col>20</xdr:col>
      <xdr:colOff>603623</xdr:colOff>
      <xdr:row>23</xdr:row>
      <xdr:rowOff>96184</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06529" y="19498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xdr:row>
      <xdr:rowOff>0</xdr:rowOff>
    </xdr:from>
    <xdr:to>
      <xdr:col>16</xdr:col>
      <xdr:colOff>0</xdr:colOff>
      <xdr:row>3</xdr:row>
      <xdr:rowOff>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781050" y="781050"/>
          <a:ext cx="8343900" cy="19050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l"/>
          <a:r>
            <a:rPr lang="en-US" sz="1100">
              <a:solidFill>
                <a:schemeClr val="tx1">
                  <a:lumMod val="85000"/>
                  <a:lumOff val="15000"/>
                </a:schemeClr>
              </a:solidFill>
            </a:rPr>
            <a:t>Key trends &amp; variance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6134.665838078705" backgroundQuery="1" createdVersion="6" refreshedVersion="7" minRefreshableVersion="3" recordCount="0" supportSubquery="1" supportAdvancedDrill="1" xr:uid="{00000000-000A-0000-FFFF-FFFF00000000}">
  <cacheSource type="external" connectionId="5"/>
  <cacheFields count="7">
    <cacheField name="[fctSales].[Date (Month)].[Date (Month)]" caption="Date (Month)" numFmtId="0" hierarchy="12" level="1">
      <sharedItems count="12">
        <s v="May"/>
        <s v="Jun"/>
        <s v="Jul"/>
        <s v="Aug"/>
        <s v="Sep"/>
        <s v="Oct"/>
        <s v="Nov"/>
        <s v="Dec"/>
        <s v="Jan"/>
        <s v="Feb"/>
        <s v="Mar"/>
        <s v="Apr"/>
      </sharedItems>
    </cacheField>
    <cacheField name="[fctSales].[Date (Year)].[Date (Year)]" caption="Date (Year)" numFmtId="0" hierarchy="14" level="1">
      <sharedItems count="2">
        <s v="2017"/>
        <s v="2018"/>
      </sharedItems>
    </cacheField>
    <cacheField name="[Measures].[Sum of Amount]" caption="Sum of Amount" numFmtId="0" hierarchy="35" level="32767"/>
    <cacheField name="[Measures].[Sum of Quantity]" caption="Sum of Quantity" numFmtId="0" hierarchy="36" level="32767"/>
    <cacheField name="[Measures].[Count of Cust ID]" caption="Count of Cust ID" numFmtId="0" hierarchy="37" level="32767"/>
    <cacheField name="[Measures].[Distinct Count of Cust ID]" caption="Distinct Count of Cust ID" numFmtId="0" hierarchy="38" level="32767"/>
    <cacheField name="[Stores].[Parking?].[Parking?]" caption="Parking?" numFmtId="0" hierarchy="26" level="1">
      <sharedItems containsSemiMixedTypes="0" containsNonDate="0" containsString="0"/>
    </cacheField>
  </cacheFields>
  <cacheHierarchies count="39">
    <cacheHierarchy uniqueName="[Customers].[Age]" caption="Age" attribute="1" defaultMemberUniqueName="[Customers].[Age].[All]" allUniqueName="[Customers].[Age].[All]" dimensionUniqueName="[Customers]" displayFolder="" count="0" memberValueDatatype="20" unbalanced="0"/>
    <cacheHierarchy uniqueName="[Customers].[Cust ID]" caption="Cust ID" attribute="1" defaultMemberUniqueName="[Customers].[Cust ID].[All]" allUniqueName="[Customers].[Cust ID].[All]" dimensionUniqueName="[Customers]" displayFolder="" count="0" memberValueDatatype="13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Cust ID]" caption="Cust ID" attribute="1" defaultMemberUniqueName="[fctSales].[Cust ID].[All]" allUniqueName="[fctSales].[Cust ID].[All]" dimensionUniqueName="[fctSale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Date (Month)]" caption="Date (Month)" attribute="1" defaultMemberUniqueName="[fctSales].[Date (Month)].[All]" allUniqueName="[fctSales].[Date (Month)].[All]" dimensionUniqueName="[fctSales]" displayFolder="" count="2" memberValueDatatype="130" unbalanced="0">
      <fieldsUsage count="2">
        <fieldUsage x="-1"/>
        <fieldUsage x="0"/>
      </fieldsUsage>
    </cacheHierarchy>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Year)]" caption="Date (Year)" attribute="1" defaultMemberUniqueName="[fctSales].[Date (Year)].[All]" allUniqueName="[fctSales].[Date (Year)].[All]" dimensionUniqueName="[fctSales]" displayFolder="" count="2" memberValueDatatype="130" unbalanced="0">
      <fieldsUsage count="2">
        <fieldUsage x="-1"/>
        <fieldUsage x="1"/>
      </fieldsUsage>
    </cacheHierarchy>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Store ID]" caption="Store ID" attribute="1" defaultMemberUniqueName="[fctSales].[Store ID].[All]" allUniqueName="[fctSales].[Store ID].[All]" dimensionUniqueName="[fctSale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SKU Size]" caption="SKU Size" attribute="1" defaultMemberUniqueName="[Products].[SKU Size].[All]" allUniqueName="[Products].[SKU Size].[All]" dimensionUniqueName="[Product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2" memberValueDatatype="130" unbalanced="0">
      <fieldsUsage count="2">
        <fieldUsage x="-1"/>
        <fieldUsage x="6"/>
      </fieldsUsage>
    </cacheHierarchy>
    <cacheHierarchy uniqueName="[Stores].[Self-checkout?]" caption="Self-checkout?" attribute="1" defaultMemberUniqueName="[Stores].[Self-checkout?].[All]" allUniqueName="[Stores].[Self-checkout?].[All]" dimensionUniqueName="[Store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fctSales"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Cust ID]" caption="Count of Cust ID" measure="1" displayFolder="" measureGroup="fctSales" count="0" oneField="1" hidden="1">
      <fieldsUsage count="1">
        <fieldUsage x="4"/>
      </fieldsUsage>
      <extLst>
        <ext xmlns:x15="http://schemas.microsoft.com/office/spreadsheetml/2010/11/main" uri="{B97F6D7D-B522-45F9-BDA1-12C45D357490}">
          <x15:cacheHierarchy aggregatedColumn="10"/>
        </ext>
      </extLst>
    </cacheHierarchy>
    <cacheHierarchy uniqueName="[Measures].[Distinct Count of Cust ID]" caption="Distinct Count of Cust ID" measure="1" displayFolder="" measureGroup="fctSales" count="0" oneField="1" hidden="1">
      <fieldsUsage count="1">
        <fieldUsage x="5"/>
      </fieldsUsage>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6245.510058912034" backgroundQuery="1" createdVersion="6" refreshedVersion="7" minRefreshableVersion="3" recordCount="0" supportSubquery="1" supportAdvancedDrill="1" xr:uid="{00000000-000A-0000-FFFF-FFFF54000000}">
  <cacheSource type="external" connectionId="5"/>
  <cacheFields count="4">
    <cacheField name="[Customers].[Age].[Age]" caption="Age" numFmtId="0" level="1">
      <sharedItems containsSemiMixedTypes="0" containsString="0" containsNumber="1" containsInteger="1" minValue="20" maxValue="58" count="36">
        <n v="20"/>
        <n v="21"/>
        <n v="23"/>
        <n v="24"/>
        <n v="25"/>
        <n v="26"/>
        <n v="27"/>
        <n v="28"/>
        <n v="29"/>
        <n v="30"/>
        <n v="31"/>
        <n v="32"/>
        <n v="33"/>
        <n v="34"/>
        <n v="35"/>
        <n v="36"/>
        <n v="37"/>
        <n v="38"/>
        <n v="39"/>
        <n v="40"/>
        <n v="41"/>
        <n v="42"/>
        <n v="43"/>
        <n v="44"/>
        <n v="45"/>
        <n v="46"/>
        <n v="47"/>
        <n v="48"/>
        <n v="49"/>
        <n v="50"/>
        <n v="51"/>
        <n v="52"/>
        <n v="54"/>
        <n v="55"/>
        <n v="57"/>
        <n v="58"/>
      </sharedItems>
      <extLst>
        <ext xmlns:x15="http://schemas.microsoft.com/office/spreadsheetml/2010/11/main" uri="{4F2E5C28-24EA-4eb8-9CBF-B6C8F9C3D259}">
          <x15:cachedUniqueNames>
            <x15:cachedUniqueName index="0" name="[Customers].[Age].&amp;[20]"/>
            <x15:cachedUniqueName index="1" name="[Customers].[Age].&amp;[21]"/>
            <x15:cachedUniqueName index="2" name="[Customers].[Age].&amp;[23]"/>
            <x15:cachedUniqueName index="3" name="[Customers].[Age].&amp;[24]"/>
            <x15:cachedUniqueName index="4" name="[Customers].[Age].&amp;[25]"/>
            <x15:cachedUniqueName index="5" name="[Customers].[Age].&amp;[26]"/>
            <x15:cachedUniqueName index="6" name="[Customers].[Age].&amp;[27]"/>
            <x15:cachedUniqueName index="7" name="[Customers].[Age].&amp;[28]"/>
            <x15:cachedUniqueName index="8" name="[Customers].[Age].&amp;[29]"/>
            <x15:cachedUniqueName index="9" name="[Customers].[Age].&amp;[30]"/>
            <x15:cachedUniqueName index="10" name="[Customers].[Age].&amp;[31]"/>
            <x15:cachedUniqueName index="11" name="[Customers].[Age].&amp;[32]"/>
            <x15:cachedUniqueName index="12" name="[Customers].[Age].&amp;[33]"/>
            <x15:cachedUniqueName index="13" name="[Customers].[Age].&amp;[34]"/>
            <x15:cachedUniqueName index="14" name="[Customers].[Age].&amp;[35]"/>
            <x15:cachedUniqueName index="15" name="[Customers].[Age].&amp;[36]"/>
            <x15:cachedUniqueName index="16" name="[Customers].[Age].&amp;[37]"/>
            <x15:cachedUniqueName index="17" name="[Customers].[Age].&amp;[38]"/>
            <x15:cachedUniqueName index="18" name="[Customers].[Age].&amp;[39]"/>
            <x15:cachedUniqueName index="19" name="[Customers].[Age].&amp;[40]"/>
            <x15:cachedUniqueName index="20" name="[Customers].[Age].&amp;[41]"/>
            <x15:cachedUniqueName index="21" name="[Customers].[Age].&amp;[42]"/>
            <x15:cachedUniqueName index="22" name="[Customers].[Age].&amp;[43]"/>
            <x15:cachedUniqueName index="23" name="[Customers].[Age].&amp;[44]"/>
            <x15:cachedUniqueName index="24" name="[Customers].[Age].&amp;[45]"/>
            <x15:cachedUniqueName index="25" name="[Customers].[Age].&amp;[46]"/>
            <x15:cachedUniqueName index="26" name="[Customers].[Age].&amp;[47]"/>
            <x15:cachedUniqueName index="27" name="[Customers].[Age].&amp;[48]"/>
            <x15:cachedUniqueName index="28" name="[Customers].[Age].&amp;[49]"/>
            <x15:cachedUniqueName index="29" name="[Customers].[Age].&amp;[50]"/>
            <x15:cachedUniqueName index="30" name="[Customers].[Age].&amp;[51]"/>
            <x15:cachedUniqueName index="31" name="[Customers].[Age].&amp;[52]"/>
            <x15:cachedUniqueName index="32" name="[Customers].[Age].&amp;[54]"/>
            <x15:cachedUniqueName index="33" name="[Customers].[Age].&amp;[55]"/>
            <x15:cachedUniqueName index="34" name="[Customers].[Age].&amp;[57]"/>
            <x15:cachedUniqueName index="35" name="[Customers].[Age].&amp;[58]"/>
          </x15:cachedUniqueNames>
        </ext>
      </extLst>
    </cacheField>
    <cacheField name="[Customers].[Gender].[Gender]" caption="Gender" numFmtId="0" hierarchy="3" level="1">
      <sharedItems count="2">
        <s v="Female"/>
        <s v="Male"/>
      </sharedItems>
    </cacheField>
    <cacheField name="[Measures].[Sum of Amount]" caption="Sum of Amount" numFmtId="0" hierarchy="35" level="32767"/>
    <cacheField name="[Products].[Category].[Category]" caption="Category" numFmtId="0" hierarchy="19" level="1">
      <sharedItems containsSemiMixedTypes="0" containsNonDate="0" containsString="0"/>
    </cacheField>
  </cacheFields>
  <cacheHierarchies count="39">
    <cacheHierarchy uniqueName="[Customers].[Age]" caption="Age" attribute="1" defaultMemberUniqueName="[Customers].[Age].[All]" allUniqueName="[Customers].[Age].[All]" dimensionUniqueName="[Customers]" displayFolder="" count="2" memberValueDatatype="20" unbalanced="0">
      <fieldsUsage count="2">
        <fieldUsage x="-1"/>
        <fieldUsage x="0"/>
      </fieldsUsage>
    </cacheHierarchy>
    <cacheHierarchy uniqueName="[Customers].[Cust ID]" caption="Cust ID" attribute="1" defaultMemberUniqueName="[Customers].[Cust ID].[All]" allUniqueName="[Customers].[Cust ID].[All]" dimensionUniqueName="[Customers]" displayFolder="" count="0" memberValueDatatype="13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Kids?]" caption="Kids?" attribute="1" defaultMemberUniqueName="[Customers].[Kids?].[All]" allUniqueName="[Customers].[Kids?].[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Cust ID]" caption="Cust ID" attribute="1" defaultMemberUniqueName="[fctSales].[Cust ID].[All]" allUniqueName="[fctSales].[Cust ID].[All]" dimensionUniqueName="[fctSale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Date (Month)]" caption="Date (Month)" attribute="1" defaultMemberUniqueName="[fctSales].[Date (Month)].[All]" allUniqueName="[fctSales].[Date (Month)].[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Store ID]" caption="Store ID" attribute="1" defaultMemberUniqueName="[fctSales].[Store ID].[All]" allUniqueName="[fctSales].[Store ID].[All]" dimensionUniqueName="[fctSale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Name]" caption="Name" attribute="1" defaultMemberUniqueName="[Products].[Name].[All]" allUniqueName="[Products].[Name].[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SKU Size]" caption="SKU Size" attribute="1" defaultMemberUniqueName="[Products].[SKU Size].[All]" allUniqueName="[Products].[SKU Size].[All]" dimensionUniqueName="[Product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fctSales" count="0" hidden="1">
      <extLst>
        <ext xmlns:x15="http://schemas.microsoft.com/office/spreadsheetml/2010/11/main" uri="{B97F6D7D-B522-45F9-BDA1-12C45D357490}">
          <x15:cacheHierarchy aggregatedColumn="17"/>
        </ext>
      </extLst>
    </cacheHierarchy>
    <cacheHierarchy uniqueName="[Measures].[Count of Cust ID]" caption="Count of Cust ID" measure="1" displayFolder="" measureGroup="fctSales" count="0" hidden="1">
      <extLst>
        <ext xmlns:x15="http://schemas.microsoft.com/office/spreadsheetml/2010/11/main" uri="{B97F6D7D-B522-45F9-BDA1-12C45D357490}">
          <x15:cacheHierarchy aggregatedColumn="10"/>
        </ext>
      </extLst>
    </cacheHierarchy>
    <cacheHierarchy uniqueName="[Measures].[Distinct Count of Cust ID]" caption="Distinct Count of Cust ID" measure="1" displayFolder="" measureGroup="fctSale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6245.510063888891" backgroundQuery="1" createdVersion="6" refreshedVersion="7" minRefreshableVersion="3" recordCount="0" supportSubquery="1" supportAdvancedDrill="1" xr:uid="{00000000-000A-0000-FFFF-FFFF57000000}">
  <cacheSource type="external" connectionId="5"/>
  <cacheFields count="3">
    <cacheField name="[Products].[Name].[Name]" caption="Name" numFmtId="0" hierarchy="20" level="1">
      <sharedItems count="31">
        <s v="5 Stars"/>
        <s v="7up"/>
        <s v="Cake in a cup"/>
        <s v="Cakes2Go"/>
        <s v="Chewy Cashews"/>
        <s v="Coke"/>
        <s v="Diet Coke"/>
        <s v="Donut Shaped Biscuits"/>
        <s v="Donuts in a box"/>
        <s v="Doritoos"/>
        <s v="Dried Grapes"/>
        <s v="Fanta"/>
        <s v="Fried Frozen Bananas"/>
        <s v="Frozen Apples"/>
        <s v="Frozen Bananas"/>
        <s v="Frozen Berries"/>
        <s v="Frozen Grapes"/>
        <s v="Grapo"/>
        <s v="I can't believe this is cake"/>
        <s v="Lazy Potato Chips"/>
        <s v="Lotta' Pie"/>
        <s v="Mountain Mist"/>
        <s v="Peanuts"/>
        <s v="Salt Crackers"/>
        <s v="Snickests"/>
        <s v="Sprite"/>
        <s v="Tasty Toffees"/>
        <s v="Tea time cookies"/>
        <s v="Venus"/>
        <s v="Wall nuts"/>
        <s v="Wonly Oreas"/>
      </sharedItems>
    </cacheField>
    <cacheField name="[Measures].[Sum of Quantity]" caption="Sum of Quantity" numFmtId="0" hierarchy="36" level="32767"/>
    <cacheField name="[Products].[Category].[Category]" caption="Category" numFmtId="0" hierarchy="19" level="1">
      <sharedItems containsSemiMixedTypes="0" containsNonDate="0" containsString="0"/>
    </cacheField>
  </cacheFields>
  <cacheHierarchies count="39">
    <cacheHierarchy uniqueName="[Customers].[Age]" caption="Age" attribute="1" defaultMemberUniqueName="[Customers].[Age].[All]" allUniqueName="[Customers].[Age].[All]" dimensionUniqueName="[Customers]" displayFolder="" count="0" memberValueDatatype="20" unbalanced="0"/>
    <cacheHierarchy uniqueName="[Customers].[Cust ID]" caption="Cust ID" attribute="1" defaultMemberUniqueName="[Customers].[Cust ID].[All]" allUniqueName="[Customers].[Cust ID].[All]" dimensionUniqueName="[Customers]" displayFolder="" count="0" memberValueDatatype="13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Cust ID]" caption="Cust ID" attribute="1" defaultMemberUniqueName="[fctSales].[Cust ID].[All]" allUniqueName="[fctSales].[Cust ID].[All]" dimensionUniqueName="[fctSale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Date (Month)]" caption="Date (Month)" attribute="1" defaultMemberUniqueName="[fctSales].[Date (Month)].[All]" allUniqueName="[fctSales].[Date (Month)].[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Store ID]" caption="Store ID" attribute="1" defaultMemberUniqueName="[fctSales].[Store ID].[All]" allUniqueName="[fctSales].[Store ID].[All]" dimensionUniqueName="[fctSale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Name]" caption="Name" attribute="1" defaultMemberUniqueName="[Products].[Name].[All]" allUniqueName="[Products].[Name].[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SKU Size]" caption="SKU Size" attribute="1" defaultMemberUniqueName="[Products].[SKU Size].[All]" allUniqueName="[Products].[SKU Size].[All]" dimensionUniqueName="[Product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f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 ID]" caption="Count of Cust ID" measure="1" displayFolder="" measureGroup="fctSales" count="0" hidden="1">
      <extLst>
        <ext xmlns:x15="http://schemas.microsoft.com/office/spreadsheetml/2010/11/main" uri="{B97F6D7D-B522-45F9-BDA1-12C45D357490}">
          <x15:cacheHierarchy aggregatedColumn="10"/>
        </ext>
      </extLst>
    </cacheHierarchy>
    <cacheHierarchy uniqueName="[Measures].[Distinct Count of Cust ID]" caption="Distinct Count of Cust ID" measure="1" displayFolder="" measureGroup="fctSale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6245.510069097225" backgroundQuery="1" createdVersion="6" refreshedVersion="7" minRefreshableVersion="3" recordCount="0" supportSubquery="1" supportAdvancedDrill="1" xr:uid="{00000000-000A-0000-FFFF-FFFF5A000000}">
  <cacheSource type="external" connectionId="5"/>
  <cacheFields count="3">
    <cacheField name="[Products].[Name].[Name]" caption="Name" numFmtId="0" hierarchy="20" level="1">
      <sharedItems count="5">
        <s v="Chewy Cashews"/>
        <s v="Coke"/>
        <s v="Fanta"/>
        <s v="Fried Frozen Bananas"/>
        <s v="Sprite"/>
      </sharedItems>
    </cacheField>
    <cacheField name="[Measures].[Sum of Quantity]" caption="Sum of Quantity" numFmtId="0" hierarchy="36" level="32767"/>
    <cacheField name="[Products].[Category].[Category]" caption="Category" numFmtId="0" hierarchy="19" level="1">
      <sharedItems containsSemiMixedTypes="0" containsNonDate="0" containsString="0"/>
    </cacheField>
  </cacheFields>
  <cacheHierarchies count="39">
    <cacheHierarchy uniqueName="[Customers].[Age]" caption="Age" attribute="1" defaultMemberUniqueName="[Customers].[Age].[All]" allUniqueName="[Customers].[Age].[All]" dimensionUniqueName="[Customers]" displayFolder="" count="0" memberValueDatatype="20" unbalanced="0"/>
    <cacheHierarchy uniqueName="[Customers].[Cust ID]" caption="Cust ID" attribute="1" defaultMemberUniqueName="[Customers].[Cust ID].[All]" allUniqueName="[Customers].[Cust ID].[All]" dimensionUniqueName="[Customers]" displayFolder="" count="0" memberValueDatatype="13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Cust ID]" caption="Cust ID" attribute="1" defaultMemberUniqueName="[fctSales].[Cust ID].[All]" allUniqueName="[fctSales].[Cust ID].[All]" dimensionUniqueName="[fctSale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Date (Month)]" caption="Date (Month)" attribute="1" defaultMemberUniqueName="[fctSales].[Date (Month)].[All]" allUniqueName="[fctSales].[Date (Month)].[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Store ID]" caption="Store ID" attribute="1" defaultMemberUniqueName="[fctSales].[Store ID].[All]" allUniqueName="[fctSales].[Store ID].[All]" dimensionUniqueName="[fctSale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Name]" caption="Name" attribute="1" defaultMemberUniqueName="[Products].[Name].[All]" allUniqueName="[Products].[Name].[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SKU Size]" caption="SKU Size" attribute="1" defaultMemberUniqueName="[Products].[SKU Size].[All]" allUniqueName="[Products].[SKU Size].[All]" dimensionUniqueName="[Product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f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 ID]" caption="Count of Cust ID" measure="1" displayFolder="" measureGroup="fctSales" count="0" hidden="1">
      <extLst>
        <ext xmlns:x15="http://schemas.microsoft.com/office/spreadsheetml/2010/11/main" uri="{B97F6D7D-B522-45F9-BDA1-12C45D357490}">
          <x15:cacheHierarchy aggregatedColumn="10"/>
        </ext>
      </extLst>
    </cacheHierarchy>
    <cacheHierarchy uniqueName="[Measures].[Distinct Count of Cust ID]" caption="Distinct Count of Cust ID" measure="1" displayFolder="" measureGroup="fctSale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6245.510073611113" backgroundQuery="1" createdVersion="6" refreshedVersion="7" minRefreshableVersion="3" recordCount="0" supportSubquery="1" supportAdvancedDrill="1" xr:uid="{00000000-000A-0000-FFFF-FFFF5D000000}">
  <cacheSource type="external" connectionId="5"/>
  <cacheFields count="5">
    <cacheField name="[Stores].[City].[City]" caption="City" numFmtId="0" hierarchy="25" level="1">
      <sharedItems count="15">
        <s v="Ballarat"/>
        <s v="Bendigo"/>
        <s v="Cairns"/>
        <s v="Canberra"/>
        <s v="Central Coast"/>
        <s v="Darwin"/>
        <s v="Geelong"/>
        <s v="Gold Coast"/>
        <s v="Hobart"/>
        <s v="Mackay"/>
        <s v="Newcastle"/>
        <s v="Rockhampton"/>
        <s v="Sunshine Coast"/>
        <s v="Townsville"/>
        <s v="Wollongong"/>
      </sharedItems>
    </cacheField>
    <cacheField name="[Measures].[Sum of Amount]" caption="Sum of Amount" numFmtId="0" hierarchy="35" level="32767"/>
    <cacheField name="[fctSales].[Date (Year)].[Date (Year)]" caption="Date (Year)" numFmtId="0" hierarchy="14" level="1">
      <sharedItems count="2">
        <s v="2017"/>
        <s v="2018"/>
      </sharedItems>
    </cacheField>
    <cacheField name="[fctSales].[Date (Month)].[Date (Month)]" caption="Date (Month)" numFmtId="0" hierarchy="12" level="1">
      <sharedItems count="12">
        <s v="May"/>
        <s v="Jun"/>
        <s v="Jul"/>
        <s v="Aug"/>
        <s v="Sep"/>
        <s v="Oct"/>
        <s v="Nov"/>
        <s v="Dec"/>
        <s v="Jan"/>
        <s v="Feb"/>
        <s v="Mar"/>
        <s v="Apr"/>
      </sharedItems>
    </cacheField>
    <cacheField name="[Products].[Category].[Category]" caption="Category" numFmtId="0" hierarchy="19" level="1">
      <sharedItems containsSemiMixedTypes="0" containsNonDate="0" containsString="0"/>
    </cacheField>
  </cacheFields>
  <cacheHierarchies count="39">
    <cacheHierarchy uniqueName="[Customers].[Age]" caption="Age" attribute="1" defaultMemberUniqueName="[Customers].[Age].[All]" allUniqueName="[Customers].[Age].[All]" dimensionUniqueName="[Customers]" displayFolder="" count="0" memberValueDatatype="20" unbalanced="0"/>
    <cacheHierarchy uniqueName="[Customers].[Cust ID]" caption="Cust ID" attribute="1" defaultMemberUniqueName="[Customers].[Cust ID].[All]" allUniqueName="[Customers].[Cust ID].[All]" dimensionUniqueName="[Customers]" displayFolder="" count="0" memberValueDatatype="13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Cust ID]" caption="Cust ID" attribute="1" defaultMemberUniqueName="[fctSales].[Cust ID].[All]" allUniqueName="[fctSales].[Cust ID].[All]" dimensionUniqueName="[fctSale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Date (Month)]" caption="Date (Month)" attribute="1" defaultMemberUniqueName="[fctSales].[Date (Month)].[All]" allUniqueName="[fctSales].[Date (Month)].[All]" dimensionUniqueName="[fctSales]" displayFolder="" count="2" memberValueDatatype="130" unbalanced="0">
      <fieldsUsage count="2">
        <fieldUsage x="-1"/>
        <fieldUsage x="3"/>
      </fieldsUsage>
    </cacheHierarchy>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Year)]" caption="Date (Year)" attribute="1" defaultMemberUniqueName="[fctSales].[Date (Year)].[All]" allUniqueName="[fctSales].[Date (Year)].[All]" dimensionUniqueName="[fctSales]" displayFolder="" count="2" memberValueDatatype="130" unbalanced="0">
      <fieldsUsage count="2">
        <fieldUsage x="-1"/>
        <fieldUsage x="2"/>
      </fieldsUsage>
    </cacheHierarchy>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Store ID]" caption="Store ID" attribute="1" defaultMemberUniqueName="[fctSales].[Store ID].[All]" allUniqueName="[fctSales].[Store ID].[All]" dimensionUniqueName="[fctSale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Name]" caption="Name" attribute="1" defaultMemberUniqueName="[Products].[Name].[All]" allUniqueName="[Products].[Name].[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SKU Size]" caption="SKU Size" attribute="1" defaultMemberUniqueName="[Products].[SKU Size].[All]" allUniqueName="[Products].[SKU Size].[All]" dimensionUniqueName="[Product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0"/>
      </fieldsUsage>
    </cacheHierarchy>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fctSales" count="0" hidden="1">
      <extLst>
        <ext xmlns:x15="http://schemas.microsoft.com/office/spreadsheetml/2010/11/main" uri="{B97F6D7D-B522-45F9-BDA1-12C45D357490}">
          <x15:cacheHierarchy aggregatedColumn="17"/>
        </ext>
      </extLst>
    </cacheHierarchy>
    <cacheHierarchy uniqueName="[Measures].[Count of Cust ID]" caption="Count of Cust ID" measure="1" displayFolder="" measureGroup="fctSales" count="0" hidden="1">
      <extLst>
        <ext xmlns:x15="http://schemas.microsoft.com/office/spreadsheetml/2010/11/main" uri="{B97F6D7D-B522-45F9-BDA1-12C45D357490}">
          <x15:cacheHierarchy aggregatedColumn="10"/>
        </ext>
      </extLst>
    </cacheHierarchy>
    <cacheHierarchy uniqueName="[Measures].[Distinct Count of Cust ID]" caption="Distinct Count of Cust ID" measure="1" displayFolder="" measureGroup="fctSale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6245.510078125" backgroundQuery="1" createdVersion="6" refreshedVersion="7" minRefreshableVersion="3" recordCount="0" supportSubquery="1" supportAdvancedDrill="1" xr:uid="{00000000-000A-0000-FFFF-FFFF60000000}">
  <cacheSource type="external" connectionId="5"/>
  <cacheFields count="3">
    <cacheField name="[Products].[Name].[Name]" caption="Name" numFmtId="0" hierarchy="20" level="1">
      <sharedItems count="5">
        <s v="Cake in a cup"/>
        <s v="Donuts in a box"/>
        <s v="I can't believe this is cake"/>
        <s v="Lotta' Pie"/>
        <s v="Wall nuts"/>
      </sharedItems>
    </cacheField>
    <cacheField name="[Measures].[Sum of Quantity]" caption="Sum of Quantity" numFmtId="0" hierarchy="36" level="32767"/>
    <cacheField name="[Products].[Category].[Category]" caption="Category" numFmtId="0" hierarchy="19" level="1">
      <sharedItems containsSemiMixedTypes="0" containsNonDate="0" containsString="0"/>
    </cacheField>
  </cacheFields>
  <cacheHierarchies count="39">
    <cacheHierarchy uniqueName="[Customers].[Age]" caption="Age" attribute="1" defaultMemberUniqueName="[Customers].[Age].[All]" allUniqueName="[Customers].[Age].[All]" dimensionUniqueName="[Customers]" displayFolder="" count="0" memberValueDatatype="20" unbalanced="0"/>
    <cacheHierarchy uniqueName="[Customers].[Cust ID]" caption="Cust ID" attribute="1" defaultMemberUniqueName="[Customers].[Cust ID].[All]" allUniqueName="[Customers].[Cust ID].[All]" dimensionUniqueName="[Customers]" displayFolder="" count="0" memberValueDatatype="13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Cust ID]" caption="Cust ID" attribute="1" defaultMemberUniqueName="[fctSales].[Cust ID].[All]" allUniqueName="[fctSales].[Cust ID].[All]" dimensionUniqueName="[fctSale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Date (Month)]" caption="Date (Month)" attribute="1" defaultMemberUniqueName="[fctSales].[Date (Month)].[All]" allUniqueName="[fctSales].[Date (Month)].[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Store ID]" caption="Store ID" attribute="1" defaultMemberUniqueName="[fctSales].[Store ID].[All]" allUniqueName="[fctSales].[Store ID].[All]" dimensionUniqueName="[fctSale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Name]" caption="Name" attribute="1" defaultMemberUniqueName="[Products].[Name].[All]" allUniqueName="[Products].[Name].[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SKU Size]" caption="SKU Size" attribute="1" defaultMemberUniqueName="[Products].[SKU Size].[All]" allUniqueName="[Products].[SKU Size].[All]" dimensionUniqueName="[Product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f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 ID]" caption="Count of Cust ID" measure="1" displayFolder="" measureGroup="fctSales" count="0" hidden="1">
      <extLst>
        <ext xmlns:x15="http://schemas.microsoft.com/office/spreadsheetml/2010/11/main" uri="{B97F6D7D-B522-45F9-BDA1-12C45D357490}">
          <x15:cacheHierarchy aggregatedColumn="10"/>
        </ext>
      </extLst>
    </cacheHierarchy>
    <cacheHierarchy uniqueName="[Measures].[Distinct Count of Cust ID]" caption="Distinct Count of Cust ID" measure="1" displayFolder="" measureGroup="fctSale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oo" refreshedDate="43256.502416203701" backgroundQuery="1" createdVersion="3" refreshedVersion="6" minRefreshableVersion="3" recordCount="0" supportSubquery="1" supportAdvancedDrill="1" xr:uid="{00000000-000A-0000-FFFF-FFFF06000000}">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Customers].[Age]" caption="Age" attribute="1" defaultMemberUniqueName="[Customers].[Age].[All]" allUniqueName="[Customers].[Age].[All]" dimensionUniqueName="[Customers]" displayFolder="" count="0" memberValueDatatype="20" unbalanced="0"/>
    <cacheHierarchy uniqueName="[Customers].[Cust ID]" caption="Cust ID" attribute="1" defaultMemberUniqueName="[Customers].[Cust ID].[All]" allUniqueName="[Customers].[Cust ID].[All]" dimensionUniqueName="[Customers]" displayFolder="" count="0" memberValueDatatype="13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Cust ID]" caption="Cust ID" attribute="1" defaultMemberUniqueName="[fctSales].[Cust ID].[All]" allUniqueName="[fctSales].[Cust ID].[All]" dimensionUniqueName="[fctSale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Date (Month)]" caption="Date (Month)" attribute="1" defaultMemberUniqueName="[fctSales].[Date (Month)].[All]" allUniqueName="[fctSales].[Date (Month)].[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Store ID]" caption="Store ID" attribute="1" defaultMemberUniqueName="[fctSales].[Store ID].[All]" allUniqueName="[fctSales].[Store ID].[All]" dimensionUniqueName="[fctSale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SKU Size]" caption="SKU Size" attribute="1" defaultMemberUniqueName="[Products].[SKU Size].[All]" allUniqueName="[Products].[SKU Size].[All]" dimensionUniqueName="[Product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2"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fctSales" count="0" hidden="1">
      <extLst>
        <ext xmlns:x15="http://schemas.microsoft.com/office/spreadsheetml/2010/11/main" uri="{B97F6D7D-B522-45F9-BDA1-12C45D357490}">
          <x15:cacheHierarchy aggregatedColumn="17"/>
        </ext>
      </extLst>
    </cacheHierarchy>
    <cacheHierarchy uniqueName="[Measures].[Count of Cust ID]" caption="Count of Cust ID" measure="1" displayFolder="" measureGroup="fctSales" count="0" hidden="1">
      <extLst>
        <ext xmlns:x15="http://schemas.microsoft.com/office/spreadsheetml/2010/11/main" uri="{B97F6D7D-B522-45F9-BDA1-12C45D357490}">
          <x15:cacheHierarchy aggregatedColumn="10"/>
        </ext>
      </extLst>
    </cacheHierarchy>
    <cacheHierarchy uniqueName="[Measures].[Distinct Count of Cust ID]" caption="Distinct Count of Cust ID" measure="1" displayFolder="" measureGroup="fctSale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8314779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bottom5_pivot" cacheId="23"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location ref="E90:F95"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v="1"/>
    </i>
    <i>
      <x/>
    </i>
    <i>
      <x v="2"/>
    </i>
    <i>
      <x v="3"/>
    </i>
  </rowItems>
  <colItems count="1">
    <i/>
  </colItems>
  <dataFields count="1">
    <dataField name="Sum of Quantity"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top="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top5_pivot" cacheId="29"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location ref="A90:B95"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i>
    <i>
      <x v="4"/>
    </i>
    <i>
      <x v="3"/>
    </i>
  </rowItems>
  <colItems count="1">
    <i/>
  </colItems>
  <dataFields count="1">
    <dataField name="Sum of Quantity"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store_pivot" cacheId="26"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location ref="A42:N59" firstHeaderRow="1" firstDataRow="3" firstDataCol="1"/>
  <pivotFields count="5">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3">
            <reference field="4294967294" count="1" selected="0">
              <x v="0"/>
            </reference>
            <reference field="2" count="1" selected="0">
              <x v="1"/>
            </reference>
            <reference field="3"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5">
    <i>
      <x/>
    </i>
    <i>
      <x v="6"/>
    </i>
    <i>
      <x v="1"/>
    </i>
    <i>
      <x v="9"/>
    </i>
    <i>
      <x v="2"/>
    </i>
    <i>
      <x v="13"/>
    </i>
    <i>
      <x v="7"/>
    </i>
    <i>
      <x v="10"/>
    </i>
    <i>
      <x v="14"/>
    </i>
    <i>
      <x v="11"/>
    </i>
    <i>
      <x v="4"/>
    </i>
    <i>
      <x v="8"/>
    </i>
    <i>
      <x v="5"/>
    </i>
    <i>
      <x v="3"/>
    </i>
    <i>
      <x v="12"/>
    </i>
  </rowItems>
  <colFields count="2">
    <field x="2"/>
    <field x="3"/>
  </colFields>
  <colItems count="13">
    <i>
      <x/>
      <x/>
    </i>
    <i r="1">
      <x v="1"/>
    </i>
    <i r="1">
      <x v="2"/>
    </i>
    <i r="1">
      <x v="3"/>
    </i>
    <i r="1">
      <x v="4"/>
    </i>
    <i r="1">
      <x v="5"/>
    </i>
    <i r="1">
      <x v="6"/>
    </i>
    <i r="1">
      <x v="7"/>
    </i>
    <i>
      <x v="1"/>
      <x v="8"/>
    </i>
    <i r="1">
      <x v="9"/>
    </i>
    <i r="1">
      <x v="10"/>
    </i>
    <i r="1">
      <x v="11"/>
    </i>
    <i r="1">
      <x/>
    </i>
  </colItems>
  <dataFields count="1">
    <dataField name="Sum of Amount" fld="1" baseField="2" baseItem="1048828"/>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2">
    <colHierarchyUsage hierarchyUsage="14"/>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 cacheId="0" applyNumberFormats="0" applyBorderFormats="0" applyFontFormats="0" applyPatternFormats="0" applyAlignmentFormats="0" applyWidthHeightFormats="1" dataCaption="Values" tag="35b385ac-9bbf-4539-b8b6-4fcaa566d180" updatedVersion="7" minRefreshableVersion="3" useAutoFormatting="1" itemPrintTitles="1" createdVersion="6" indent="0" compact="0" compactData="0" multipleFieldFilters="0">
  <location ref="A1:F15" firstHeaderRow="0" firstDataRow="1" firstDataCol="2"/>
  <pivotFields count="7">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allDrilled="1" outline="0" subtotalTop="0" showAll="0" dataSourceSort="1" defaultSubtotal="0">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1"/>
    <field x="0"/>
  </rowFields>
  <rowItems count="14">
    <i>
      <x/>
      <x/>
    </i>
    <i r="1">
      <x v="1"/>
    </i>
    <i r="1">
      <x v="2"/>
    </i>
    <i r="1">
      <x v="3"/>
    </i>
    <i r="1">
      <x v="4"/>
    </i>
    <i r="1">
      <x v="5"/>
    </i>
    <i r="1">
      <x v="6"/>
    </i>
    <i r="1">
      <x v="7"/>
    </i>
    <i>
      <x v="1"/>
      <x v="8"/>
    </i>
    <i r="1">
      <x v="9"/>
    </i>
    <i r="1">
      <x v="10"/>
    </i>
    <i r="1">
      <x v="11"/>
    </i>
    <i r="1">
      <x/>
    </i>
    <i t="grand">
      <x/>
    </i>
  </rowItems>
  <colFields count="1">
    <field x="-2"/>
  </colFields>
  <colItems count="4">
    <i>
      <x/>
    </i>
    <i i="1">
      <x v="1"/>
    </i>
    <i i="2">
      <x v="2"/>
    </i>
    <i i="3">
      <x v="3"/>
    </i>
  </colItems>
  <dataFields count="4">
    <dataField name="Sum of Amount" fld="2" baseField="0" baseItem="0"/>
    <dataField name="Sum of Quantity" fld="3" baseField="0" baseItem="0"/>
    <dataField name="Count of Cust ID" fld="4" subtotal="count" baseField="0" baseItem="0"/>
    <dataField name="Distinct Count of Cust ID2" fld="5"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Parking?].&amp;[No]"/>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Cust ID2"/>
  </pivotHierarchies>
  <pivotTableStyleInfo name="PivotStyleLight16" showRowHeaders="1" showColHeaders="1" showRowStripes="0" showColStripes="0" showLastColumn="1"/>
  <rowHierarchiesUsage count="2">
    <rowHierarchyUsage hierarchyUsage="14"/>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ct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age_pivot" cacheId="17"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chartFormat="4">
  <location ref="A130:C167" firstHeaderRow="1" firstDataRow="2" firstDataCol="1"/>
  <pivotFields count="4">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Fields count="1">
    <field x="1"/>
  </colFields>
  <colItems count="2">
    <i>
      <x/>
    </i>
    <i>
      <x v="1"/>
    </i>
  </colItems>
  <dataFields count="1">
    <dataField name="Sum of Amount" fld="2"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all_pivot" cacheId="20"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location ref="J90:J91" firstHeaderRow="1" firstDataRow="1" firstDataCol="0"/>
  <pivotFields count="3">
    <pivotField allDrilled="1" subtotalTop="0" showAll="0" sortType="ascending"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king?" xr10:uid="{00000000-0013-0000-FFFF-FFFF01000000}" sourceName="[Stores].[Parking?]">
  <pivotTables>
    <pivotTable tabId="2" name="PivotTable1"/>
  </pivotTables>
  <data>
    <olap pivotCacheId="831477942">
      <levels count="2">
        <level uniqueName="[Stores].[Parking?].[(All)]" sourceCaption="(All)" count="0"/>
        <level uniqueName="[Stores].[Parking?].[Parking?]" sourceCaption="Parking?" count="2">
          <ranges>
            <range startItem="0">
              <i n="[Stores].[Parking?].&amp;[No]" c="No"/>
              <i n="[Stores].[Parking?].&amp;[Yes]" c="Yes"/>
            </range>
          </ranges>
        </level>
      </levels>
      <selections count="1">
        <selection n="[Stores].[Parking?].&amp;[N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Products].[Category]">
  <pivotTables>
    <pivotTable tabId="2" name="age_pivot"/>
    <pivotTable tabId="2" name="all_pivot"/>
    <pivotTable tabId="2" name="bottom5_pivot"/>
    <pivotTable tabId="2" name="store_pivot"/>
    <pivotTable tabId="2" name="top5_pivot"/>
  </pivotTables>
  <data>
    <olap pivotCacheId="831477942">
      <levels count="2">
        <level uniqueName="[Products].[Category].[(All)]" sourceCaption="(All)" count="0"/>
        <level uniqueName="[Products].[Category].[Category]" sourceCaption="Category" count="7">
          <ranges>
            <range startItem="0">
              <i n="[Products].[Category].&amp;[Biscuits]" c="Biscuits"/>
              <i n="[Products].[Category].&amp;[Cakes]" c="Cakes"/>
              <i n="[Products].[Category].&amp;[Chips]" c="Chips"/>
              <i n="[Products].[Category].&amp;[Chocoloates]" c="Chocoloates"/>
              <i n="[Products].[Category].&amp;[Drinks]" c="Drinks"/>
              <i n="[Products].[Category].&amp;[Dry Fruits &amp; Nuts]" c="Dry Fruits &amp; Nuts"/>
              <i n="[Products].[Category].&amp;[Frozen Fruits]" c="Frozen Frui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king?" xr10:uid="{00000000-0014-0000-FFFF-FFFF01000000}" cache="Slicer_Parking?" caption="Parking?" level="1" style="SlicerStyleLight4" rowHeight="241300"/>
  <slicer name="Category" xr10:uid="{00000000-0014-0000-FFFF-FFFF02000000}" cache="Slicer_Category" caption="Catego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N8" sqref="N8"/>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67"/>
  <sheetViews>
    <sheetView zoomScale="115" zoomScaleNormal="115" workbookViewId="0">
      <selection activeCell="A4" sqref="A4"/>
    </sheetView>
  </sheetViews>
  <sheetFormatPr defaultRowHeight="15" x14ac:dyDescent="0.25"/>
  <cols>
    <col min="1" max="1" width="23.7109375" bestFit="1" customWidth="1"/>
    <col min="2" max="2" width="15.5703125" bestFit="1" customWidth="1"/>
    <col min="3" max="14" width="10.140625" bestFit="1" customWidth="1"/>
    <col min="15" max="15" width="21.85546875" bestFit="1" customWidth="1"/>
    <col min="16" max="17" width="12.5703125" customWidth="1"/>
  </cols>
  <sheetData>
    <row r="1" spans="1:12" x14ac:dyDescent="0.25">
      <c r="A1" s="1" t="s">
        <v>19</v>
      </c>
      <c r="B1" s="1" t="s">
        <v>20</v>
      </c>
      <c r="C1" t="s">
        <v>15</v>
      </c>
      <c r="D1" t="s">
        <v>16</v>
      </c>
      <c r="E1" t="s">
        <v>17</v>
      </c>
      <c r="F1" t="s">
        <v>18</v>
      </c>
      <c r="I1" t="s">
        <v>21</v>
      </c>
      <c r="J1" t="s">
        <v>22</v>
      </c>
      <c r="K1" t="s">
        <v>23</v>
      </c>
      <c r="L1" t="s">
        <v>24</v>
      </c>
    </row>
    <row r="2" spans="1:12" x14ac:dyDescent="0.25">
      <c r="A2" t="s">
        <v>1</v>
      </c>
      <c r="B2" t="s">
        <v>2</v>
      </c>
      <c r="C2" s="2">
        <v>84870.349999999991</v>
      </c>
      <c r="D2" s="2">
        <v>18397</v>
      </c>
      <c r="E2" s="2">
        <v>2145</v>
      </c>
      <c r="F2" s="2">
        <v>345</v>
      </c>
      <c r="H2" t="s">
        <v>25</v>
      </c>
      <c r="I2">
        <f>C14</f>
        <v>81789.350000000049</v>
      </c>
      <c r="J2">
        <f t="shared" ref="J2:L2" si="0">D14</f>
        <v>17247</v>
      </c>
      <c r="K2">
        <f t="shared" si="0"/>
        <v>2087</v>
      </c>
      <c r="L2">
        <f t="shared" si="0"/>
        <v>345</v>
      </c>
    </row>
    <row r="3" spans="1:12" x14ac:dyDescent="0.25">
      <c r="A3" t="s">
        <v>1</v>
      </c>
      <c r="B3" t="s">
        <v>3</v>
      </c>
      <c r="C3" s="2">
        <v>73911.849999999875</v>
      </c>
      <c r="D3" s="2">
        <v>17079</v>
      </c>
      <c r="E3" s="2">
        <v>2017</v>
      </c>
      <c r="F3" s="2">
        <v>346</v>
      </c>
      <c r="H3" t="s">
        <v>26</v>
      </c>
      <c r="I3">
        <f>C2</f>
        <v>84870.349999999991</v>
      </c>
      <c r="J3">
        <f t="shared" ref="J3:L3" si="1">D2</f>
        <v>18397</v>
      </c>
      <c r="K3">
        <f t="shared" si="1"/>
        <v>2145</v>
      </c>
      <c r="L3">
        <f t="shared" si="1"/>
        <v>345</v>
      </c>
    </row>
    <row r="4" spans="1:12" x14ac:dyDescent="0.25">
      <c r="A4" t="s">
        <v>1</v>
      </c>
      <c r="B4" t="s">
        <v>4</v>
      </c>
      <c r="C4" s="2">
        <v>77529.299999999974</v>
      </c>
      <c r="D4" s="2">
        <v>17507</v>
      </c>
      <c r="E4" s="2">
        <v>2152</v>
      </c>
      <c r="F4" s="2">
        <v>346</v>
      </c>
      <c r="H4" t="s">
        <v>27</v>
      </c>
      <c r="I4" s="3">
        <f>I2/I3-1</f>
        <v>-3.6302430707543243E-2</v>
      </c>
      <c r="J4" s="3">
        <f t="shared" ref="J4:L4" si="2">J2/J3-1</f>
        <v>-6.2510191879110777E-2</v>
      </c>
      <c r="K4" s="3">
        <f t="shared" si="2"/>
        <v>-2.7039627039627034E-2</v>
      </c>
      <c r="L4" s="3">
        <f t="shared" si="2"/>
        <v>0</v>
      </c>
    </row>
    <row r="5" spans="1:12" x14ac:dyDescent="0.25">
      <c r="A5" t="s">
        <v>1</v>
      </c>
      <c r="B5" t="s">
        <v>5</v>
      </c>
      <c r="C5" s="2">
        <v>77368.600000000108</v>
      </c>
      <c r="D5" s="2">
        <v>17227</v>
      </c>
      <c r="E5" s="2">
        <v>2063</v>
      </c>
      <c r="F5" s="2">
        <v>346</v>
      </c>
      <c r="H5" t="s">
        <v>28</v>
      </c>
    </row>
    <row r="6" spans="1:12" x14ac:dyDescent="0.25">
      <c r="A6" t="s">
        <v>1</v>
      </c>
      <c r="B6" t="s">
        <v>6</v>
      </c>
      <c r="C6" s="2">
        <v>78427.799999999988</v>
      </c>
      <c r="D6" s="2">
        <v>17407</v>
      </c>
      <c r="E6" s="2">
        <v>2058</v>
      </c>
      <c r="F6" s="2">
        <v>346</v>
      </c>
    </row>
    <row r="7" spans="1:12" x14ac:dyDescent="0.25">
      <c r="A7" t="s">
        <v>1</v>
      </c>
      <c r="B7" t="s">
        <v>7</v>
      </c>
      <c r="C7" s="2">
        <v>81189.55</v>
      </c>
      <c r="D7" s="2">
        <v>17050</v>
      </c>
      <c r="E7" s="2">
        <v>2087</v>
      </c>
      <c r="F7" s="2">
        <v>345</v>
      </c>
    </row>
    <row r="8" spans="1:12" x14ac:dyDescent="0.25">
      <c r="A8" t="s">
        <v>1</v>
      </c>
      <c r="B8" t="s">
        <v>8</v>
      </c>
      <c r="C8" s="2">
        <v>77563.649999999921</v>
      </c>
      <c r="D8" s="2">
        <v>17172</v>
      </c>
      <c r="E8" s="2">
        <v>2059</v>
      </c>
      <c r="F8" s="2">
        <v>345</v>
      </c>
      <c r="H8" t="s">
        <v>25</v>
      </c>
      <c r="I8" t="str">
        <f>B14&amp;"-"&amp;A14</f>
        <v>May-2018</v>
      </c>
    </row>
    <row r="9" spans="1:12" x14ac:dyDescent="0.25">
      <c r="A9" t="s">
        <v>1</v>
      </c>
      <c r="B9" t="s">
        <v>9</v>
      </c>
      <c r="C9" s="2">
        <v>78875.749999999956</v>
      </c>
      <c r="D9" s="2">
        <v>17171</v>
      </c>
      <c r="E9" s="2">
        <v>2102</v>
      </c>
      <c r="F9" s="2">
        <v>346</v>
      </c>
      <c r="H9" t="s">
        <v>56</v>
      </c>
      <c r="I9" t="str">
        <f>B2&amp;"-"&amp;A2</f>
        <v>May-2017</v>
      </c>
    </row>
    <row r="10" spans="1:12" x14ac:dyDescent="0.25">
      <c r="A10" t="s">
        <v>10</v>
      </c>
      <c r="B10" t="s">
        <v>11</v>
      </c>
      <c r="C10" s="2">
        <v>83231.949999999953</v>
      </c>
      <c r="D10" s="2">
        <v>17733</v>
      </c>
      <c r="E10" s="2">
        <v>2103</v>
      </c>
      <c r="F10" s="2">
        <v>346</v>
      </c>
    </row>
    <row r="11" spans="1:12" x14ac:dyDescent="0.25">
      <c r="A11" t="s">
        <v>10</v>
      </c>
      <c r="B11" t="s">
        <v>12</v>
      </c>
      <c r="C11" s="2">
        <v>79708.399999999965</v>
      </c>
      <c r="D11" s="2">
        <v>17478</v>
      </c>
      <c r="E11" s="2">
        <v>1999</v>
      </c>
      <c r="F11" s="2">
        <v>346</v>
      </c>
    </row>
    <row r="12" spans="1:12" x14ac:dyDescent="0.25">
      <c r="A12" t="s">
        <v>10</v>
      </c>
      <c r="B12" t="s">
        <v>13</v>
      </c>
      <c r="C12" s="2">
        <v>83686.500000000015</v>
      </c>
      <c r="D12" s="2">
        <v>18166</v>
      </c>
      <c r="E12" s="2">
        <v>2210</v>
      </c>
      <c r="F12" s="2">
        <v>347</v>
      </c>
    </row>
    <row r="13" spans="1:12" x14ac:dyDescent="0.25">
      <c r="A13" t="s">
        <v>10</v>
      </c>
      <c r="B13" t="s">
        <v>14</v>
      </c>
      <c r="C13" s="2">
        <v>71926.649999999965</v>
      </c>
      <c r="D13" s="2">
        <v>16087</v>
      </c>
      <c r="E13" s="2">
        <v>2025</v>
      </c>
      <c r="F13" s="2">
        <v>346</v>
      </c>
    </row>
    <row r="14" spans="1:12" x14ac:dyDescent="0.25">
      <c r="A14" t="s">
        <v>10</v>
      </c>
      <c r="B14" t="s">
        <v>2</v>
      </c>
      <c r="C14" s="2">
        <v>81789.350000000049</v>
      </c>
      <c r="D14" s="2">
        <v>17247</v>
      </c>
      <c r="E14" s="2">
        <v>2087</v>
      </c>
      <c r="F14" s="2">
        <v>345</v>
      </c>
    </row>
    <row r="15" spans="1:12" x14ac:dyDescent="0.25">
      <c r="A15" t="s">
        <v>0</v>
      </c>
      <c r="C15" s="2">
        <v>1030079.6999999996</v>
      </c>
      <c r="D15" s="2">
        <v>225721</v>
      </c>
      <c r="E15" s="2">
        <v>27107</v>
      </c>
      <c r="F15" s="2">
        <v>347</v>
      </c>
    </row>
    <row r="42" spans="1:22" x14ac:dyDescent="0.25">
      <c r="A42" s="1" t="s">
        <v>15</v>
      </c>
      <c r="B42" s="1" t="s">
        <v>45</v>
      </c>
    </row>
    <row r="43" spans="1:22" x14ac:dyDescent="0.25">
      <c r="B43" t="s">
        <v>1</v>
      </c>
      <c r="J43" t="s">
        <v>10</v>
      </c>
    </row>
    <row r="44" spans="1:22" x14ac:dyDescent="0.25">
      <c r="A44" s="1" t="s">
        <v>29</v>
      </c>
      <c r="B44" t="s">
        <v>2</v>
      </c>
      <c r="C44" t="s">
        <v>3</v>
      </c>
      <c r="D44" t="s">
        <v>4</v>
      </c>
      <c r="E44" t="s">
        <v>5</v>
      </c>
      <c r="F44" t="s">
        <v>6</v>
      </c>
      <c r="G44" t="s">
        <v>7</v>
      </c>
      <c r="H44" t="s">
        <v>8</v>
      </c>
      <c r="I44" t="s">
        <v>9</v>
      </c>
      <c r="J44" t="s">
        <v>11</v>
      </c>
      <c r="K44" t="s">
        <v>12</v>
      </c>
      <c r="L44" t="s">
        <v>13</v>
      </c>
      <c r="M44" t="s">
        <v>14</v>
      </c>
      <c r="N44" t="s">
        <v>2</v>
      </c>
      <c r="R44" t="s">
        <v>46</v>
      </c>
      <c r="S44" t="s">
        <v>25</v>
      </c>
      <c r="T44" t="s">
        <v>26</v>
      </c>
      <c r="U44" t="s">
        <v>47</v>
      </c>
      <c r="V44" t="s">
        <v>28</v>
      </c>
    </row>
    <row r="45" spans="1:22" x14ac:dyDescent="0.25">
      <c r="A45" s="5" t="s">
        <v>30</v>
      </c>
      <c r="B45" s="2">
        <v>14012.650000000001</v>
      </c>
      <c r="C45" s="2">
        <v>9676.7500000000036</v>
      </c>
      <c r="D45" s="2">
        <v>10989.000000000002</v>
      </c>
      <c r="E45" s="2">
        <v>9762.6499999999978</v>
      </c>
      <c r="F45" s="2">
        <v>10534.999999999998</v>
      </c>
      <c r="G45" s="2">
        <v>11320.3</v>
      </c>
      <c r="H45" s="2">
        <v>9950.1000000000022</v>
      </c>
      <c r="I45" s="2">
        <v>9293.4500000000007</v>
      </c>
      <c r="J45" s="2">
        <v>10102</v>
      </c>
      <c r="K45" s="2">
        <v>10794.95</v>
      </c>
      <c r="L45" s="2">
        <v>12214.399999999996</v>
      </c>
      <c r="M45" s="2">
        <v>10565.2</v>
      </c>
      <c r="N45" s="2">
        <v>13829.399999999998</v>
      </c>
      <c r="R45" t="str">
        <f>A45</f>
        <v>Ballarat</v>
      </c>
      <c r="S45">
        <f>N45</f>
        <v>13829.399999999998</v>
      </c>
      <c r="T45">
        <f>B45</f>
        <v>14012.650000000001</v>
      </c>
      <c r="U45" s="3">
        <f>S45/T45-1</f>
        <v>-1.3077469286680521E-2</v>
      </c>
    </row>
    <row r="46" spans="1:22" x14ac:dyDescent="0.25">
      <c r="A46" s="5" t="s">
        <v>36</v>
      </c>
      <c r="B46" s="2">
        <v>9522.4</v>
      </c>
      <c r="C46" s="2">
        <v>10287.4</v>
      </c>
      <c r="D46" s="2">
        <v>9305.9499999999989</v>
      </c>
      <c r="E46" s="2">
        <v>10976.75</v>
      </c>
      <c r="F46" s="2">
        <v>14015.05</v>
      </c>
      <c r="G46" s="2">
        <v>13684.900000000005</v>
      </c>
      <c r="H46" s="2">
        <v>9677.5999999999949</v>
      </c>
      <c r="I46" s="2">
        <v>11461.75</v>
      </c>
      <c r="J46" s="2">
        <v>14897.15</v>
      </c>
      <c r="K46" s="2">
        <v>10265.649999999998</v>
      </c>
      <c r="L46" s="2">
        <v>9929.850000000004</v>
      </c>
      <c r="M46" s="2">
        <v>10641.749999999998</v>
      </c>
      <c r="N46" s="2">
        <v>13314</v>
      </c>
      <c r="R46" t="str">
        <f t="shared" ref="R46:R59" si="3">A46</f>
        <v>Geelong</v>
      </c>
      <c r="S46">
        <f t="shared" ref="S46:S59" si="4">N46</f>
        <v>13314</v>
      </c>
      <c r="T46">
        <f t="shared" ref="T46:T59" si="5">B46</f>
        <v>9522.4</v>
      </c>
      <c r="U46" s="3">
        <f t="shared" ref="U46:U59" si="6">S46/T46-1</f>
        <v>0.39817693018566747</v>
      </c>
    </row>
    <row r="47" spans="1:22" x14ac:dyDescent="0.25">
      <c r="A47" s="5" t="s">
        <v>31</v>
      </c>
      <c r="B47" s="2">
        <v>10791.799999999996</v>
      </c>
      <c r="C47" s="2">
        <v>8518.9500000000007</v>
      </c>
      <c r="D47" s="2">
        <v>12931.550000000001</v>
      </c>
      <c r="E47" s="2">
        <v>10051.649999999994</v>
      </c>
      <c r="F47" s="2">
        <v>12118.650000000001</v>
      </c>
      <c r="G47" s="2">
        <v>9532</v>
      </c>
      <c r="H47" s="2">
        <v>9639.3499999999967</v>
      </c>
      <c r="I47" s="2">
        <v>12202.3</v>
      </c>
      <c r="J47" s="2">
        <v>12027.849999999997</v>
      </c>
      <c r="K47" s="2">
        <v>10919.250000000002</v>
      </c>
      <c r="L47" s="2">
        <v>10518.5</v>
      </c>
      <c r="M47" s="2">
        <v>10063.699999999997</v>
      </c>
      <c r="N47" s="2">
        <v>13249.500000000002</v>
      </c>
      <c r="R47" t="str">
        <f t="shared" si="3"/>
        <v>Bendigo</v>
      </c>
      <c r="S47">
        <f t="shared" si="4"/>
        <v>13249.500000000002</v>
      </c>
      <c r="T47">
        <f t="shared" si="5"/>
        <v>10791.799999999996</v>
      </c>
      <c r="U47" s="3">
        <f t="shared" si="6"/>
        <v>0.22773772679256532</v>
      </c>
    </row>
    <row r="48" spans="1:22" x14ac:dyDescent="0.25">
      <c r="A48" s="5" t="s">
        <v>39</v>
      </c>
      <c r="B48" s="2">
        <v>12547.85</v>
      </c>
      <c r="C48" s="2">
        <v>9287.2500000000036</v>
      </c>
      <c r="D48" s="2">
        <v>11903.999999999998</v>
      </c>
      <c r="E48" s="2">
        <v>8899.3000000000047</v>
      </c>
      <c r="F48" s="2">
        <v>9581.2000000000007</v>
      </c>
      <c r="G48" s="2">
        <v>13219.300000000005</v>
      </c>
      <c r="H48" s="2">
        <v>10786.250000000002</v>
      </c>
      <c r="I48" s="2">
        <v>12751.249999999993</v>
      </c>
      <c r="J48" s="2">
        <v>10087.149999999996</v>
      </c>
      <c r="K48" s="2">
        <v>11082.749999999998</v>
      </c>
      <c r="L48" s="2">
        <v>11808.399999999996</v>
      </c>
      <c r="M48" s="2">
        <v>9690.3499999999985</v>
      </c>
      <c r="N48" s="2">
        <v>11588.950000000003</v>
      </c>
      <c r="R48" t="str">
        <f t="shared" si="3"/>
        <v>Mackay</v>
      </c>
      <c r="S48">
        <f t="shared" si="4"/>
        <v>11588.950000000003</v>
      </c>
      <c r="T48">
        <f t="shared" si="5"/>
        <v>12547.85</v>
      </c>
      <c r="U48" s="3">
        <f t="shared" si="6"/>
        <v>-7.6419466283068282E-2</v>
      </c>
    </row>
    <row r="49" spans="1:21" x14ac:dyDescent="0.25">
      <c r="A49" s="5" t="s">
        <v>32</v>
      </c>
      <c r="B49" s="2">
        <v>13225.500000000004</v>
      </c>
      <c r="C49" s="2">
        <v>10359.199999999999</v>
      </c>
      <c r="D49" s="2">
        <v>12362.050000000003</v>
      </c>
      <c r="E49" s="2">
        <v>12315.349999999997</v>
      </c>
      <c r="F49" s="2">
        <v>10461.799999999999</v>
      </c>
      <c r="G49" s="2">
        <v>12451.449999999999</v>
      </c>
      <c r="H49" s="2">
        <v>11271.6</v>
      </c>
      <c r="I49" s="2">
        <v>11243.949999999997</v>
      </c>
      <c r="J49" s="2">
        <v>12625.549999999994</v>
      </c>
      <c r="K49" s="2">
        <v>11031.849999999997</v>
      </c>
      <c r="L49" s="2">
        <v>11087.65</v>
      </c>
      <c r="M49" s="2">
        <v>11051.650000000007</v>
      </c>
      <c r="N49" s="2">
        <v>11284.450000000004</v>
      </c>
      <c r="R49" t="str">
        <f t="shared" si="3"/>
        <v>Cairns</v>
      </c>
      <c r="S49">
        <f t="shared" si="4"/>
        <v>11284.450000000004</v>
      </c>
      <c r="T49">
        <f t="shared" si="5"/>
        <v>13225.500000000004</v>
      </c>
      <c r="U49" s="3">
        <f t="shared" si="6"/>
        <v>-0.14676571774224023</v>
      </c>
    </row>
    <row r="50" spans="1:21" x14ac:dyDescent="0.25">
      <c r="A50" s="5" t="s">
        <v>43</v>
      </c>
      <c r="B50" s="2">
        <v>11301.699999999995</v>
      </c>
      <c r="C50" s="2">
        <v>10764.400000000001</v>
      </c>
      <c r="D50" s="2">
        <v>9548.4499999999935</v>
      </c>
      <c r="E50" s="2">
        <v>11391.75</v>
      </c>
      <c r="F50" s="2">
        <v>10754.400000000001</v>
      </c>
      <c r="G50" s="2">
        <v>13473.700000000003</v>
      </c>
      <c r="H50" s="2">
        <v>10879.849999999999</v>
      </c>
      <c r="I50" s="2">
        <v>12492.100000000004</v>
      </c>
      <c r="J50" s="2">
        <v>9773.0000000000018</v>
      </c>
      <c r="K50" s="2">
        <v>13724</v>
      </c>
      <c r="L50" s="2">
        <v>10676.35</v>
      </c>
      <c r="M50" s="2">
        <v>8420.4500000000007</v>
      </c>
      <c r="N50" s="2">
        <v>11233.65</v>
      </c>
      <c r="R50" t="str">
        <f t="shared" si="3"/>
        <v>Townsville</v>
      </c>
      <c r="S50">
        <f t="shared" si="4"/>
        <v>11233.65</v>
      </c>
      <c r="T50">
        <f t="shared" si="5"/>
        <v>11301.699999999995</v>
      </c>
      <c r="U50" s="3">
        <f t="shared" si="6"/>
        <v>-6.0212180468420806E-3</v>
      </c>
    </row>
    <row r="51" spans="1:21" x14ac:dyDescent="0.25">
      <c r="A51" s="5" t="s">
        <v>37</v>
      </c>
      <c r="B51" s="2">
        <v>9190.7999999999938</v>
      </c>
      <c r="C51" s="2">
        <v>11648.749999999998</v>
      </c>
      <c r="D51" s="2">
        <v>11180.049999999997</v>
      </c>
      <c r="E51" s="2">
        <v>9823.9999999999964</v>
      </c>
      <c r="F51" s="2">
        <v>11235.650000000003</v>
      </c>
      <c r="G51" s="2">
        <v>12240.949999999997</v>
      </c>
      <c r="H51" s="2">
        <v>11102.65</v>
      </c>
      <c r="I51" s="2">
        <v>10068.200000000001</v>
      </c>
      <c r="J51" s="2">
        <v>9906.0999999999985</v>
      </c>
      <c r="K51" s="2">
        <v>11210.699999999999</v>
      </c>
      <c r="L51" s="2">
        <v>11279.299999999997</v>
      </c>
      <c r="M51" s="2">
        <v>9958.6999999999953</v>
      </c>
      <c r="N51" s="2">
        <v>11135.299999999997</v>
      </c>
      <c r="R51" t="str">
        <f t="shared" si="3"/>
        <v>Gold Coast</v>
      </c>
      <c r="S51">
        <f t="shared" si="4"/>
        <v>11135.299999999997</v>
      </c>
      <c r="T51">
        <f t="shared" si="5"/>
        <v>9190.7999999999938</v>
      </c>
      <c r="U51" s="3">
        <f t="shared" si="6"/>
        <v>0.21157026591809247</v>
      </c>
    </row>
    <row r="52" spans="1:21" x14ac:dyDescent="0.25">
      <c r="A52" s="5" t="s">
        <v>40</v>
      </c>
      <c r="B52" s="2">
        <v>12080.35</v>
      </c>
      <c r="C52" s="2">
        <v>9846.9499999999935</v>
      </c>
      <c r="D52" s="2">
        <v>10687.799999999997</v>
      </c>
      <c r="E52" s="2">
        <v>11880.999999999995</v>
      </c>
      <c r="F52" s="2">
        <v>10952.849999999999</v>
      </c>
      <c r="G52" s="2">
        <v>9358.6500000000015</v>
      </c>
      <c r="H52" s="2">
        <v>10392.799999999999</v>
      </c>
      <c r="I52" s="2">
        <v>12372.249999999998</v>
      </c>
      <c r="J52" s="2">
        <v>9548.7000000000007</v>
      </c>
      <c r="K52" s="2">
        <v>10162.300000000001</v>
      </c>
      <c r="L52" s="2">
        <v>13924.849999999995</v>
      </c>
      <c r="M52" s="2">
        <v>11378.199999999999</v>
      </c>
      <c r="N52" s="2">
        <v>10860.800000000003</v>
      </c>
      <c r="R52" t="str">
        <f t="shared" si="3"/>
        <v>Newcastle</v>
      </c>
      <c r="S52">
        <f t="shared" si="4"/>
        <v>10860.800000000003</v>
      </c>
      <c r="T52">
        <f t="shared" si="5"/>
        <v>12080.35</v>
      </c>
      <c r="U52" s="3">
        <f t="shared" si="6"/>
        <v>-0.10095320085924642</v>
      </c>
    </row>
    <row r="53" spans="1:21" x14ac:dyDescent="0.25">
      <c r="A53" s="5" t="s">
        <v>44</v>
      </c>
      <c r="B53" s="2">
        <v>12314.8</v>
      </c>
      <c r="C53" s="2">
        <v>12523.7</v>
      </c>
      <c r="D53" s="2">
        <v>12080.199999999999</v>
      </c>
      <c r="E53" s="2">
        <v>8827.1500000000015</v>
      </c>
      <c r="F53" s="2">
        <v>11254.649999999998</v>
      </c>
      <c r="G53" s="2">
        <v>10422.599999999999</v>
      </c>
      <c r="H53" s="2">
        <v>11680.899999999996</v>
      </c>
      <c r="I53" s="2">
        <v>10104.999999999993</v>
      </c>
      <c r="J53" s="2">
        <v>11665</v>
      </c>
      <c r="K53" s="2">
        <v>12125.499999999998</v>
      </c>
      <c r="L53" s="2">
        <v>13172.45</v>
      </c>
      <c r="M53" s="2">
        <v>9433.1999999999971</v>
      </c>
      <c r="N53" s="2">
        <v>10736.849999999999</v>
      </c>
      <c r="R53" t="str">
        <f t="shared" si="3"/>
        <v>Wollongong</v>
      </c>
      <c r="S53">
        <f t="shared" si="4"/>
        <v>10736.849999999999</v>
      </c>
      <c r="T53">
        <f t="shared" si="5"/>
        <v>12314.8</v>
      </c>
      <c r="U53" s="3">
        <f t="shared" si="6"/>
        <v>-0.12813443986098039</v>
      </c>
    </row>
    <row r="54" spans="1:21" x14ac:dyDescent="0.25">
      <c r="A54" s="5" t="s">
        <v>41</v>
      </c>
      <c r="B54" s="2">
        <v>14716.399999999994</v>
      </c>
      <c r="C54" s="2">
        <v>11007.65</v>
      </c>
      <c r="D54" s="2">
        <v>12883.799999999996</v>
      </c>
      <c r="E54" s="2">
        <v>11482.100000000002</v>
      </c>
      <c r="F54" s="2">
        <v>10547.300000000001</v>
      </c>
      <c r="G54" s="2">
        <v>11157.45</v>
      </c>
      <c r="H54" s="2">
        <v>13364.550000000001</v>
      </c>
      <c r="I54" s="2">
        <v>11596.95</v>
      </c>
      <c r="J54" s="2">
        <v>11635.849999999999</v>
      </c>
      <c r="K54" s="2">
        <v>13484.849999999995</v>
      </c>
      <c r="L54" s="2">
        <v>11856.249999999998</v>
      </c>
      <c r="M54" s="2">
        <v>8597.9999999999964</v>
      </c>
      <c r="N54" s="2">
        <v>10686.999999999995</v>
      </c>
      <c r="R54" t="str">
        <f t="shared" si="3"/>
        <v>Rockhampton</v>
      </c>
      <c r="S54">
        <f t="shared" si="4"/>
        <v>10686.999999999995</v>
      </c>
      <c r="T54">
        <f t="shared" si="5"/>
        <v>14716.399999999994</v>
      </c>
      <c r="U54" s="3">
        <f t="shared" si="6"/>
        <v>-0.27380337582560965</v>
      </c>
    </row>
    <row r="55" spans="1:21" x14ac:dyDescent="0.25">
      <c r="A55" s="5" t="s">
        <v>34</v>
      </c>
      <c r="B55" s="2">
        <v>12412.950000000008</v>
      </c>
      <c r="C55" s="2">
        <v>10453.450000000003</v>
      </c>
      <c r="D55" s="2">
        <v>12555.849999999997</v>
      </c>
      <c r="E55" s="2">
        <v>12213.95</v>
      </c>
      <c r="F55" s="2">
        <v>10454.050000000001</v>
      </c>
      <c r="G55" s="2">
        <v>10477.949999999999</v>
      </c>
      <c r="H55" s="2">
        <v>13710.800000000001</v>
      </c>
      <c r="I55" s="2">
        <v>11907.249999999996</v>
      </c>
      <c r="J55" s="2">
        <v>14620.549999999996</v>
      </c>
      <c r="K55" s="2">
        <v>11604.150000000005</v>
      </c>
      <c r="L55" s="2">
        <v>12680.950000000004</v>
      </c>
      <c r="M55" s="2">
        <v>10436.200000000003</v>
      </c>
      <c r="N55" s="2">
        <v>10530.199999999999</v>
      </c>
      <c r="R55" t="str">
        <f t="shared" si="3"/>
        <v>Central Coast</v>
      </c>
      <c r="S55">
        <f t="shared" si="4"/>
        <v>10530.199999999999</v>
      </c>
      <c r="T55">
        <f t="shared" si="5"/>
        <v>12412.950000000008</v>
      </c>
      <c r="U55" s="3">
        <f t="shared" si="6"/>
        <v>-0.15167627356913604</v>
      </c>
    </row>
    <row r="56" spans="1:21" x14ac:dyDescent="0.25">
      <c r="A56" s="5" t="s">
        <v>38</v>
      </c>
      <c r="B56" s="2">
        <v>12789.899999999996</v>
      </c>
      <c r="C56" s="2">
        <v>9290.0000000000018</v>
      </c>
      <c r="D56" s="2">
        <v>10594.25</v>
      </c>
      <c r="E56" s="2">
        <v>10825.899999999998</v>
      </c>
      <c r="F56" s="2">
        <v>12465.950000000004</v>
      </c>
      <c r="G56" s="2">
        <v>10593.6</v>
      </c>
      <c r="H56" s="2">
        <v>9088.1</v>
      </c>
      <c r="I56" s="2">
        <v>12460.050000000003</v>
      </c>
      <c r="J56" s="2">
        <v>12055.300000000003</v>
      </c>
      <c r="K56" s="2">
        <v>11796.25</v>
      </c>
      <c r="L56" s="2">
        <v>12436.449999999997</v>
      </c>
      <c r="M56" s="2">
        <v>10033.049999999996</v>
      </c>
      <c r="N56" s="2">
        <v>10325.449999999999</v>
      </c>
      <c r="R56" t="str">
        <f t="shared" si="3"/>
        <v>Hobart</v>
      </c>
      <c r="S56">
        <f t="shared" si="4"/>
        <v>10325.449999999999</v>
      </c>
      <c r="T56">
        <f t="shared" si="5"/>
        <v>12789.899999999996</v>
      </c>
      <c r="U56" s="3">
        <f t="shared" si="6"/>
        <v>-0.19268719849256033</v>
      </c>
    </row>
    <row r="57" spans="1:21" x14ac:dyDescent="0.25">
      <c r="A57" s="5" t="s">
        <v>35</v>
      </c>
      <c r="B57" s="2">
        <v>12703.900000000003</v>
      </c>
      <c r="C57" s="2">
        <v>11060.849999999999</v>
      </c>
      <c r="D57" s="2">
        <v>12325.649999999994</v>
      </c>
      <c r="E57" s="2">
        <v>12175.750000000002</v>
      </c>
      <c r="F57" s="2">
        <v>11564.549999999994</v>
      </c>
      <c r="G57" s="2">
        <v>12640.55</v>
      </c>
      <c r="H57" s="2">
        <v>9892.0499999999938</v>
      </c>
      <c r="I57" s="2">
        <v>8496.8000000000011</v>
      </c>
      <c r="J57" s="2">
        <v>11077.949999999999</v>
      </c>
      <c r="K57" s="2">
        <v>11422.8</v>
      </c>
      <c r="L57" s="2">
        <v>12462.600000000002</v>
      </c>
      <c r="M57" s="2">
        <v>10428.149999999998</v>
      </c>
      <c r="N57" s="2">
        <v>10279.899999999996</v>
      </c>
      <c r="R57" t="str">
        <f t="shared" si="3"/>
        <v>Darwin</v>
      </c>
      <c r="S57">
        <f t="shared" si="4"/>
        <v>10279.899999999996</v>
      </c>
      <c r="T57">
        <f t="shared" si="5"/>
        <v>12703.900000000003</v>
      </c>
      <c r="U57" s="3">
        <f t="shared" si="6"/>
        <v>-0.19080754728862848</v>
      </c>
    </row>
    <row r="58" spans="1:21" x14ac:dyDescent="0.25">
      <c r="A58" s="5" t="s">
        <v>33</v>
      </c>
      <c r="B58" s="2">
        <v>10920.25</v>
      </c>
      <c r="C58" s="2">
        <v>9885.2499999999982</v>
      </c>
      <c r="D58" s="2">
        <v>11486.1</v>
      </c>
      <c r="E58" s="2">
        <v>10910.1</v>
      </c>
      <c r="F58" s="2">
        <v>10912.900000000003</v>
      </c>
      <c r="G58" s="2">
        <v>11494.100000000004</v>
      </c>
      <c r="H58" s="2">
        <v>10233.15</v>
      </c>
      <c r="I58" s="2">
        <v>11600.849999999999</v>
      </c>
      <c r="J58" s="2">
        <v>10761.099999999995</v>
      </c>
      <c r="K58" s="2">
        <v>11477.899999999998</v>
      </c>
      <c r="L58" s="2">
        <v>12454.849999999995</v>
      </c>
      <c r="M58" s="2">
        <v>10697.799999999994</v>
      </c>
      <c r="N58" s="2">
        <v>10162.349999999997</v>
      </c>
      <c r="R58" t="str">
        <f t="shared" si="3"/>
        <v>Canberra</v>
      </c>
      <c r="S58">
        <f t="shared" si="4"/>
        <v>10162.349999999997</v>
      </c>
      <c r="T58">
        <f t="shared" si="5"/>
        <v>10920.25</v>
      </c>
      <c r="U58" s="3">
        <f t="shared" si="6"/>
        <v>-6.9403173004281338E-2</v>
      </c>
    </row>
    <row r="59" spans="1:21" x14ac:dyDescent="0.25">
      <c r="A59" s="5" t="s">
        <v>42</v>
      </c>
      <c r="B59" s="2">
        <v>11653.099999999997</v>
      </c>
      <c r="C59" s="2">
        <v>8554.5</v>
      </c>
      <c r="D59" s="2">
        <v>10719.050000000003</v>
      </c>
      <c r="E59" s="2">
        <v>11704.849999999997</v>
      </c>
      <c r="F59" s="2">
        <v>11707.799999999997</v>
      </c>
      <c r="G59" s="2">
        <v>11599.049999999996</v>
      </c>
      <c r="H59" s="2">
        <v>11133.700000000003</v>
      </c>
      <c r="I59" s="2">
        <v>10950.449999999997</v>
      </c>
      <c r="J59" s="2">
        <v>12212.05</v>
      </c>
      <c r="K59" s="2">
        <v>11840.000000000002</v>
      </c>
      <c r="L59" s="2">
        <v>11779.649999999994</v>
      </c>
      <c r="M59" s="2">
        <v>8517.9000000000033</v>
      </c>
      <c r="N59" s="2">
        <v>10040.399999999998</v>
      </c>
      <c r="R59" t="str">
        <f t="shared" si="3"/>
        <v>Sunshine Coast</v>
      </c>
      <c r="S59">
        <f t="shared" si="4"/>
        <v>10040.399999999998</v>
      </c>
      <c r="T59">
        <f t="shared" si="5"/>
        <v>11653.099999999997</v>
      </c>
      <c r="U59" s="3">
        <f t="shared" si="6"/>
        <v>-0.1383923591147419</v>
      </c>
    </row>
    <row r="89" spans="1:16" x14ac:dyDescent="0.25">
      <c r="M89">
        <v>1</v>
      </c>
    </row>
    <row r="90" spans="1:16" x14ac:dyDescent="0.25">
      <c r="A90" s="1" t="s">
        <v>29</v>
      </c>
      <c r="B90" t="s">
        <v>16</v>
      </c>
      <c r="E90" s="1" t="s">
        <v>29</v>
      </c>
      <c r="F90" t="s">
        <v>16</v>
      </c>
      <c r="J90" t="s">
        <v>16</v>
      </c>
      <c r="M90" s="7" t="str">
        <f>IF(M89=1,"Top","Bottom")</f>
        <v>Top</v>
      </c>
      <c r="O90" t="s">
        <v>48</v>
      </c>
      <c r="P90" t="s">
        <v>22</v>
      </c>
    </row>
    <row r="91" spans="1:16" x14ac:dyDescent="0.25">
      <c r="A91" s="5" t="s">
        <v>68</v>
      </c>
      <c r="B91" s="2">
        <v>20047</v>
      </c>
      <c r="E91" s="5" t="s">
        <v>63</v>
      </c>
      <c r="F91" s="2">
        <v>11999</v>
      </c>
      <c r="J91" s="2">
        <v>482896</v>
      </c>
      <c r="O91" t="str">
        <f t="shared" ref="O91:P95" si="7">IF(top.or.bottom="top",A91,E91)</f>
        <v>Donuts in a box</v>
      </c>
      <c r="P91" s="6">
        <f t="shared" si="7"/>
        <v>20047</v>
      </c>
    </row>
    <row r="92" spans="1:16" x14ac:dyDescent="0.25">
      <c r="A92" s="5" t="s">
        <v>69</v>
      </c>
      <c r="B92" s="2">
        <v>19975</v>
      </c>
      <c r="E92" s="5" t="s">
        <v>64</v>
      </c>
      <c r="F92" s="2">
        <v>12348</v>
      </c>
      <c r="O92" t="str">
        <f t="shared" si="7"/>
        <v>I can't believe this is cake</v>
      </c>
      <c r="P92" s="6">
        <f t="shared" si="7"/>
        <v>19975</v>
      </c>
    </row>
    <row r="93" spans="1:16" x14ac:dyDescent="0.25">
      <c r="A93" s="5" t="s">
        <v>70</v>
      </c>
      <c r="B93" s="2">
        <v>19833</v>
      </c>
      <c r="E93" s="5" t="s">
        <v>65</v>
      </c>
      <c r="F93" s="2">
        <v>12631</v>
      </c>
      <c r="O93" t="str">
        <f t="shared" si="7"/>
        <v>Cake in a cup</v>
      </c>
      <c r="P93" s="6">
        <f t="shared" si="7"/>
        <v>19833</v>
      </c>
    </row>
    <row r="94" spans="1:16" x14ac:dyDescent="0.25">
      <c r="A94" s="5" t="s">
        <v>71</v>
      </c>
      <c r="B94" s="2">
        <v>19748</v>
      </c>
      <c r="E94" s="5" t="s">
        <v>66</v>
      </c>
      <c r="F94" s="2">
        <v>12742</v>
      </c>
      <c r="O94" t="str">
        <f t="shared" si="7"/>
        <v>Wall nuts</v>
      </c>
      <c r="P94" s="6">
        <f t="shared" si="7"/>
        <v>19748</v>
      </c>
    </row>
    <row r="95" spans="1:16" x14ac:dyDescent="0.25">
      <c r="A95" s="5" t="s">
        <v>72</v>
      </c>
      <c r="B95" s="2">
        <v>19745</v>
      </c>
      <c r="E95" s="5" t="s">
        <v>67</v>
      </c>
      <c r="F95" s="2">
        <v>12777</v>
      </c>
      <c r="O95" t="str">
        <f t="shared" si="7"/>
        <v>Lotta' Pie</v>
      </c>
      <c r="P95" s="6">
        <f t="shared" si="7"/>
        <v>19745</v>
      </c>
    </row>
    <row r="96" spans="1:16" x14ac:dyDescent="0.25">
      <c r="O96" t="s">
        <v>49</v>
      </c>
      <c r="P96">
        <f>J91-SUM(P91:P95)</f>
        <v>383548</v>
      </c>
    </row>
    <row r="97" spans="3:16" x14ac:dyDescent="0.25">
      <c r="O97" t="s">
        <v>52</v>
      </c>
      <c r="P97" s="3">
        <f>SUM(P91:P95)/J91</f>
        <v>0.20573373977005402</v>
      </c>
    </row>
    <row r="100" spans="3:16" x14ac:dyDescent="0.25">
      <c r="C100" s="1"/>
      <c r="O100" t="s">
        <v>50</v>
      </c>
      <c r="P100" t="str">
        <f>top.or.bottom&amp;" 5 Products"</f>
        <v>Top 5 Products</v>
      </c>
    </row>
    <row r="101" spans="3:16" x14ac:dyDescent="0.25">
      <c r="O101" t="s">
        <v>51</v>
      </c>
      <c r="P101" t="str">
        <f>"Make up "&amp;TEXT(P97,"0%")&amp;" of sales."</f>
        <v>Make up 21% of sales.</v>
      </c>
    </row>
    <row r="130" spans="1:8" x14ac:dyDescent="0.25">
      <c r="A130" s="1" t="s">
        <v>15</v>
      </c>
      <c r="B130" s="1" t="s">
        <v>45</v>
      </c>
    </row>
    <row r="131" spans="1:8" x14ac:dyDescent="0.25">
      <c r="A131" s="1" t="s">
        <v>29</v>
      </c>
      <c r="B131" t="s">
        <v>53</v>
      </c>
      <c r="C131" t="s">
        <v>54</v>
      </c>
      <c r="F131" t="s">
        <v>55</v>
      </c>
      <c r="G131" t="s">
        <v>53</v>
      </c>
      <c r="H131" t="s">
        <v>54</v>
      </c>
    </row>
    <row r="132" spans="1:8" x14ac:dyDescent="0.25">
      <c r="A132" s="5">
        <v>20</v>
      </c>
      <c r="B132" s="2"/>
      <c r="C132" s="2">
        <v>8471.0999999999985</v>
      </c>
      <c r="F132">
        <f>A132</f>
        <v>20</v>
      </c>
      <c r="G132" s="6">
        <f>-B132</f>
        <v>0</v>
      </c>
      <c r="H132" s="6">
        <f t="shared" ref="H132:H167" si="8">C132</f>
        <v>8471.0999999999985</v>
      </c>
    </row>
    <row r="133" spans="1:8" x14ac:dyDescent="0.25">
      <c r="A133" s="5">
        <v>21</v>
      </c>
      <c r="B133" s="2">
        <v>5756.3</v>
      </c>
      <c r="C133" s="2">
        <v>5010.2</v>
      </c>
      <c r="F133">
        <f t="shared" ref="F133:F167" si="9">A133</f>
        <v>21</v>
      </c>
      <c r="G133" s="6">
        <f t="shared" ref="G133:G167" si="10">-B133</f>
        <v>-5756.3</v>
      </c>
      <c r="H133" s="6">
        <f t="shared" si="8"/>
        <v>5010.2</v>
      </c>
    </row>
    <row r="134" spans="1:8" x14ac:dyDescent="0.25">
      <c r="A134" s="5">
        <v>23</v>
      </c>
      <c r="B134" s="2">
        <v>5522.4000000000024</v>
      </c>
      <c r="C134" s="2">
        <v>2507.15</v>
      </c>
      <c r="F134">
        <f t="shared" si="9"/>
        <v>23</v>
      </c>
      <c r="G134" s="6">
        <f t="shared" si="10"/>
        <v>-5522.4000000000024</v>
      </c>
      <c r="H134" s="6">
        <f t="shared" si="8"/>
        <v>2507.15</v>
      </c>
    </row>
    <row r="135" spans="1:8" x14ac:dyDescent="0.25">
      <c r="A135" s="5">
        <v>24</v>
      </c>
      <c r="B135" s="2"/>
      <c r="C135" s="2">
        <v>6612.9000000000015</v>
      </c>
      <c r="F135">
        <f t="shared" si="9"/>
        <v>24</v>
      </c>
      <c r="G135" s="6">
        <f t="shared" si="10"/>
        <v>0</v>
      </c>
      <c r="H135" s="6">
        <f t="shared" si="8"/>
        <v>6612.9000000000015</v>
      </c>
    </row>
    <row r="136" spans="1:8" x14ac:dyDescent="0.25">
      <c r="A136" s="5">
        <v>25</v>
      </c>
      <c r="B136" s="2">
        <v>6413.85</v>
      </c>
      <c r="C136" s="2">
        <v>9549.5999999999985</v>
      </c>
      <c r="F136">
        <f t="shared" si="9"/>
        <v>25</v>
      </c>
      <c r="G136" s="6">
        <f t="shared" si="10"/>
        <v>-6413.85</v>
      </c>
      <c r="H136" s="6">
        <f t="shared" si="8"/>
        <v>9549.5999999999985</v>
      </c>
    </row>
    <row r="137" spans="1:8" x14ac:dyDescent="0.25">
      <c r="A137" s="5">
        <v>26</v>
      </c>
      <c r="B137" s="2">
        <v>8627.2000000000007</v>
      </c>
      <c r="C137" s="2">
        <v>7533.5000000000009</v>
      </c>
      <c r="F137">
        <f t="shared" si="9"/>
        <v>26</v>
      </c>
      <c r="G137" s="6">
        <f t="shared" si="10"/>
        <v>-8627.2000000000007</v>
      </c>
      <c r="H137" s="6">
        <f t="shared" si="8"/>
        <v>7533.5000000000009</v>
      </c>
    </row>
    <row r="138" spans="1:8" x14ac:dyDescent="0.25">
      <c r="A138" s="5">
        <v>27</v>
      </c>
      <c r="B138" s="2">
        <v>11246.2</v>
      </c>
      <c r="C138" s="2">
        <v>9345.5499999999975</v>
      </c>
      <c r="F138">
        <f t="shared" si="9"/>
        <v>27</v>
      </c>
      <c r="G138" s="6">
        <f t="shared" si="10"/>
        <v>-11246.2</v>
      </c>
      <c r="H138" s="6">
        <f t="shared" si="8"/>
        <v>9345.5499999999975</v>
      </c>
    </row>
    <row r="139" spans="1:8" x14ac:dyDescent="0.25">
      <c r="A139" s="5">
        <v>28</v>
      </c>
      <c r="B139" s="2">
        <v>16089.299999999996</v>
      </c>
      <c r="C139" s="2">
        <v>28807.799999999988</v>
      </c>
      <c r="F139">
        <f t="shared" si="9"/>
        <v>28</v>
      </c>
      <c r="G139" s="6">
        <f t="shared" si="10"/>
        <v>-16089.299999999996</v>
      </c>
      <c r="H139" s="6">
        <f t="shared" si="8"/>
        <v>28807.799999999988</v>
      </c>
    </row>
    <row r="140" spans="1:8" x14ac:dyDescent="0.25">
      <c r="A140" s="5">
        <v>29</v>
      </c>
      <c r="B140" s="2">
        <v>10269.499999999996</v>
      </c>
      <c r="C140" s="2">
        <v>30344.449999999993</v>
      </c>
      <c r="F140">
        <f t="shared" si="9"/>
        <v>29</v>
      </c>
      <c r="G140" s="6">
        <f t="shared" si="10"/>
        <v>-10269.499999999996</v>
      </c>
      <c r="H140" s="6">
        <f t="shared" si="8"/>
        <v>30344.449999999993</v>
      </c>
    </row>
    <row r="141" spans="1:8" x14ac:dyDescent="0.25">
      <c r="A141" s="5">
        <v>30</v>
      </c>
      <c r="B141" s="2">
        <v>38060.600000000013</v>
      </c>
      <c r="C141" s="2">
        <v>22581.300000000014</v>
      </c>
      <c r="F141">
        <f t="shared" si="9"/>
        <v>30</v>
      </c>
      <c r="G141" s="6">
        <f t="shared" si="10"/>
        <v>-38060.600000000013</v>
      </c>
      <c r="H141" s="6">
        <f t="shared" si="8"/>
        <v>22581.300000000014</v>
      </c>
    </row>
    <row r="142" spans="1:8" x14ac:dyDescent="0.25">
      <c r="A142" s="5">
        <v>31</v>
      </c>
      <c r="B142" s="2">
        <v>43885.900000000016</v>
      </c>
      <c r="C142" s="2">
        <v>19264.499999999993</v>
      </c>
      <c r="F142">
        <f t="shared" si="9"/>
        <v>31</v>
      </c>
      <c r="G142" s="6">
        <f t="shared" si="10"/>
        <v>-43885.900000000016</v>
      </c>
      <c r="H142" s="6">
        <f t="shared" si="8"/>
        <v>19264.499999999993</v>
      </c>
    </row>
    <row r="143" spans="1:8" x14ac:dyDescent="0.25">
      <c r="A143" s="5">
        <v>32</v>
      </c>
      <c r="B143" s="2">
        <v>36223.85</v>
      </c>
      <c r="C143" s="2">
        <v>38676.300000000003</v>
      </c>
      <c r="F143">
        <f t="shared" si="9"/>
        <v>32</v>
      </c>
      <c r="G143" s="6">
        <f t="shared" si="10"/>
        <v>-36223.85</v>
      </c>
      <c r="H143" s="6">
        <f t="shared" si="8"/>
        <v>38676.300000000003</v>
      </c>
    </row>
    <row r="144" spans="1:8" x14ac:dyDescent="0.25">
      <c r="A144" s="5">
        <v>33</v>
      </c>
      <c r="B144" s="2">
        <v>63498.600000000013</v>
      </c>
      <c r="C144" s="2">
        <v>48508.500000000029</v>
      </c>
      <c r="F144">
        <f t="shared" si="9"/>
        <v>33</v>
      </c>
      <c r="G144" s="6">
        <f t="shared" si="10"/>
        <v>-63498.600000000013</v>
      </c>
      <c r="H144" s="6">
        <f t="shared" si="8"/>
        <v>48508.500000000029</v>
      </c>
    </row>
    <row r="145" spans="1:8" x14ac:dyDescent="0.25">
      <c r="A145" s="5">
        <v>34</v>
      </c>
      <c r="B145" s="2">
        <v>53442.049999999988</v>
      </c>
      <c r="C145" s="2">
        <v>73319.150000000009</v>
      </c>
      <c r="F145">
        <f t="shared" si="9"/>
        <v>34</v>
      </c>
      <c r="G145" s="6">
        <f t="shared" si="10"/>
        <v>-53442.049999999988</v>
      </c>
      <c r="H145" s="6">
        <f t="shared" si="8"/>
        <v>73319.150000000009</v>
      </c>
    </row>
    <row r="146" spans="1:8" x14ac:dyDescent="0.25">
      <c r="A146" s="5">
        <v>35</v>
      </c>
      <c r="B146" s="2">
        <v>59452.100000000042</v>
      </c>
      <c r="C146" s="2">
        <v>54782.449999999953</v>
      </c>
      <c r="F146">
        <f t="shared" si="9"/>
        <v>35</v>
      </c>
      <c r="G146" s="6">
        <f t="shared" si="10"/>
        <v>-59452.100000000042</v>
      </c>
      <c r="H146" s="6">
        <f t="shared" si="8"/>
        <v>54782.449999999953</v>
      </c>
    </row>
    <row r="147" spans="1:8" x14ac:dyDescent="0.25">
      <c r="A147" s="5">
        <v>36</v>
      </c>
      <c r="B147" s="2">
        <v>53183.200000000012</v>
      </c>
      <c r="C147" s="2">
        <v>73463.299999999959</v>
      </c>
      <c r="F147">
        <f t="shared" si="9"/>
        <v>36</v>
      </c>
      <c r="G147" s="6">
        <f t="shared" si="10"/>
        <v>-53183.200000000012</v>
      </c>
      <c r="H147" s="6">
        <f t="shared" si="8"/>
        <v>73463.299999999959</v>
      </c>
    </row>
    <row r="148" spans="1:8" x14ac:dyDescent="0.25">
      <c r="A148" s="5">
        <v>37</v>
      </c>
      <c r="B148" s="2">
        <v>88758.250000000073</v>
      </c>
      <c r="C148" s="2">
        <v>65295.299999999952</v>
      </c>
      <c r="F148">
        <f t="shared" si="9"/>
        <v>37</v>
      </c>
      <c r="G148" s="6">
        <f t="shared" si="10"/>
        <v>-88758.250000000073</v>
      </c>
      <c r="H148" s="6">
        <f t="shared" si="8"/>
        <v>65295.299999999952</v>
      </c>
    </row>
    <row r="149" spans="1:8" x14ac:dyDescent="0.25">
      <c r="A149" s="5">
        <v>38</v>
      </c>
      <c r="B149" s="2">
        <v>95882.900000000052</v>
      </c>
      <c r="C149" s="2">
        <v>68417.95000000007</v>
      </c>
      <c r="F149">
        <f t="shared" si="9"/>
        <v>38</v>
      </c>
      <c r="G149" s="6">
        <f t="shared" si="10"/>
        <v>-95882.900000000052</v>
      </c>
      <c r="H149" s="6">
        <f t="shared" si="8"/>
        <v>68417.95000000007</v>
      </c>
    </row>
    <row r="150" spans="1:8" x14ac:dyDescent="0.25">
      <c r="A150" s="5">
        <v>39</v>
      </c>
      <c r="B150" s="2">
        <v>62078.850000000071</v>
      </c>
      <c r="C150" s="2">
        <v>68072.799999999959</v>
      </c>
      <c r="F150">
        <f t="shared" si="9"/>
        <v>39</v>
      </c>
      <c r="G150" s="6">
        <f t="shared" si="10"/>
        <v>-62078.850000000071</v>
      </c>
      <c r="H150" s="6">
        <f t="shared" si="8"/>
        <v>68072.799999999959</v>
      </c>
    </row>
    <row r="151" spans="1:8" x14ac:dyDescent="0.25">
      <c r="A151" s="5">
        <v>40</v>
      </c>
      <c r="B151" s="2">
        <v>78270.949999999983</v>
      </c>
      <c r="C151" s="2">
        <v>76619.099999999948</v>
      </c>
      <c r="F151">
        <f t="shared" si="9"/>
        <v>40</v>
      </c>
      <c r="G151" s="6">
        <f t="shared" si="10"/>
        <v>-78270.949999999983</v>
      </c>
      <c r="H151" s="6">
        <f t="shared" si="8"/>
        <v>76619.099999999948</v>
      </c>
    </row>
    <row r="152" spans="1:8" x14ac:dyDescent="0.25">
      <c r="A152" s="5">
        <v>41</v>
      </c>
      <c r="B152" s="2">
        <v>77630.950000000055</v>
      </c>
      <c r="C152" s="2">
        <v>58939.749999999971</v>
      </c>
      <c r="F152">
        <f t="shared" si="9"/>
        <v>41</v>
      </c>
      <c r="G152" s="6">
        <f t="shared" si="10"/>
        <v>-77630.950000000055</v>
      </c>
      <c r="H152" s="6">
        <f t="shared" si="8"/>
        <v>58939.749999999971</v>
      </c>
    </row>
    <row r="153" spans="1:8" x14ac:dyDescent="0.25">
      <c r="A153" s="5">
        <v>42</v>
      </c>
      <c r="B153" s="2">
        <v>47753.199999999968</v>
      </c>
      <c r="C153" s="2">
        <v>58603.100000000042</v>
      </c>
      <c r="F153">
        <f t="shared" si="9"/>
        <v>42</v>
      </c>
      <c r="G153" s="6">
        <f t="shared" si="10"/>
        <v>-47753.199999999968</v>
      </c>
      <c r="H153" s="6">
        <f t="shared" si="8"/>
        <v>58603.100000000042</v>
      </c>
    </row>
    <row r="154" spans="1:8" x14ac:dyDescent="0.25">
      <c r="A154" s="5">
        <v>43</v>
      </c>
      <c r="B154" s="2">
        <v>33914.900000000016</v>
      </c>
      <c r="C154" s="2">
        <v>52122.000000000007</v>
      </c>
      <c r="F154">
        <f t="shared" si="9"/>
        <v>43</v>
      </c>
      <c r="G154" s="6">
        <f t="shared" si="10"/>
        <v>-33914.900000000016</v>
      </c>
      <c r="H154" s="6">
        <f t="shared" si="8"/>
        <v>52122.000000000007</v>
      </c>
    </row>
    <row r="155" spans="1:8" x14ac:dyDescent="0.25">
      <c r="A155" s="5">
        <v>44</v>
      </c>
      <c r="B155" s="2">
        <v>36559.399999999994</v>
      </c>
      <c r="C155" s="2">
        <v>54871.699999999983</v>
      </c>
      <c r="F155">
        <f t="shared" si="9"/>
        <v>44</v>
      </c>
      <c r="G155" s="6">
        <f t="shared" si="10"/>
        <v>-36559.399999999994</v>
      </c>
      <c r="H155" s="6">
        <f t="shared" si="8"/>
        <v>54871.699999999983</v>
      </c>
    </row>
    <row r="156" spans="1:8" x14ac:dyDescent="0.25">
      <c r="A156" s="5">
        <v>45</v>
      </c>
      <c r="B156" s="2">
        <v>33217.799999999996</v>
      </c>
      <c r="C156" s="2">
        <v>43456.350000000006</v>
      </c>
      <c r="F156">
        <f t="shared" si="9"/>
        <v>45</v>
      </c>
      <c r="G156" s="6">
        <f t="shared" si="10"/>
        <v>-33217.799999999996</v>
      </c>
      <c r="H156" s="6">
        <f t="shared" si="8"/>
        <v>43456.350000000006</v>
      </c>
    </row>
    <row r="157" spans="1:8" x14ac:dyDescent="0.25">
      <c r="A157" s="5">
        <v>46</v>
      </c>
      <c r="B157" s="2">
        <v>34258.850000000006</v>
      </c>
      <c r="C157" s="2">
        <v>24069.300000000017</v>
      </c>
      <c r="F157">
        <f t="shared" si="9"/>
        <v>46</v>
      </c>
      <c r="G157" s="6">
        <f t="shared" si="10"/>
        <v>-34258.850000000006</v>
      </c>
      <c r="H157" s="6">
        <f t="shared" si="8"/>
        <v>24069.300000000017</v>
      </c>
    </row>
    <row r="158" spans="1:8" x14ac:dyDescent="0.25">
      <c r="A158" s="5">
        <v>47</v>
      </c>
      <c r="B158" s="2">
        <v>28704.000000000007</v>
      </c>
      <c r="C158" s="2">
        <v>28772.7</v>
      </c>
      <c r="F158">
        <f t="shared" si="9"/>
        <v>47</v>
      </c>
      <c r="G158" s="6">
        <f t="shared" si="10"/>
        <v>-28704.000000000007</v>
      </c>
      <c r="H158" s="6">
        <f t="shared" si="8"/>
        <v>28772.7</v>
      </c>
    </row>
    <row r="159" spans="1:8" x14ac:dyDescent="0.25">
      <c r="A159" s="5">
        <v>48</v>
      </c>
      <c r="B159" s="2">
        <v>18486.000000000022</v>
      </c>
      <c r="C159" s="2">
        <v>20252.499999999996</v>
      </c>
      <c r="F159">
        <f t="shared" si="9"/>
        <v>48</v>
      </c>
      <c r="G159" s="6">
        <f t="shared" si="10"/>
        <v>-18486.000000000022</v>
      </c>
      <c r="H159" s="6">
        <f t="shared" si="8"/>
        <v>20252.499999999996</v>
      </c>
    </row>
    <row r="160" spans="1:8" x14ac:dyDescent="0.25">
      <c r="A160" s="5">
        <v>49</v>
      </c>
      <c r="B160" s="2">
        <v>14103.750000000002</v>
      </c>
      <c r="C160" s="2">
        <v>4015.5999999999995</v>
      </c>
      <c r="F160">
        <f t="shared" si="9"/>
        <v>49</v>
      </c>
      <c r="G160" s="6">
        <f t="shared" si="10"/>
        <v>-14103.750000000002</v>
      </c>
      <c r="H160" s="6">
        <f t="shared" si="8"/>
        <v>4015.5999999999995</v>
      </c>
    </row>
    <row r="161" spans="1:8" x14ac:dyDescent="0.25">
      <c r="A161" s="5">
        <v>50</v>
      </c>
      <c r="B161" s="2">
        <v>5653.9500000000025</v>
      </c>
      <c r="C161" s="2">
        <v>11808.000000000002</v>
      </c>
      <c r="F161">
        <f t="shared" si="9"/>
        <v>50</v>
      </c>
      <c r="G161" s="6">
        <f t="shared" si="10"/>
        <v>-5653.9500000000025</v>
      </c>
      <c r="H161" s="6">
        <f t="shared" si="8"/>
        <v>11808.000000000002</v>
      </c>
    </row>
    <row r="162" spans="1:8" x14ac:dyDescent="0.25">
      <c r="A162" s="5">
        <v>51</v>
      </c>
      <c r="B162" s="2"/>
      <c r="C162" s="2">
        <v>5755.9500000000016</v>
      </c>
      <c r="F162">
        <f t="shared" si="9"/>
        <v>51</v>
      </c>
      <c r="G162" s="6">
        <f t="shared" si="10"/>
        <v>0</v>
      </c>
      <c r="H162" s="6">
        <f t="shared" si="8"/>
        <v>5755.9500000000016</v>
      </c>
    </row>
    <row r="163" spans="1:8" x14ac:dyDescent="0.25">
      <c r="A163" s="5">
        <v>52</v>
      </c>
      <c r="B163" s="2">
        <v>13720.499999999996</v>
      </c>
      <c r="C163" s="2">
        <v>12285.749999999995</v>
      </c>
      <c r="F163">
        <f t="shared" si="9"/>
        <v>52</v>
      </c>
      <c r="G163" s="6">
        <f t="shared" si="10"/>
        <v>-13720.499999999996</v>
      </c>
      <c r="H163" s="6">
        <f t="shared" si="8"/>
        <v>12285.749999999995</v>
      </c>
    </row>
    <row r="164" spans="1:8" x14ac:dyDescent="0.25">
      <c r="A164" s="5">
        <v>54</v>
      </c>
      <c r="B164" s="2"/>
      <c r="C164" s="2">
        <v>3003.2999999999997</v>
      </c>
      <c r="F164">
        <f t="shared" si="9"/>
        <v>54</v>
      </c>
      <c r="G164" s="6">
        <f t="shared" si="10"/>
        <v>0</v>
      </c>
      <c r="H164" s="6">
        <f t="shared" si="8"/>
        <v>3003.2999999999997</v>
      </c>
    </row>
    <row r="165" spans="1:8" x14ac:dyDescent="0.25">
      <c r="A165" s="5">
        <v>55</v>
      </c>
      <c r="B165" s="2"/>
      <c r="C165" s="2">
        <v>2513.1</v>
      </c>
      <c r="F165">
        <f t="shared" si="9"/>
        <v>55</v>
      </c>
      <c r="G165" s="6">
        <f t="shared" si="10"/>
        <v>0</v>
      </c>
      <c r="H165" s="6">
        <f t="shared" si="8"/>
        <v>2513.1</v>
      </c>
    </row>
    <row r="166" spans="1:8" x14ac:dyDescent="0.25">
      <c r="A166" s="5">
        <v>57</v>
      </c>
      <c r="B166" s="2">
        <v>2682.3999999999996</v>
      </c>
      <c r="C166" s="2"/>
      <c r="F166">
        <f t="shared" si="9"/>
        <v>57</v>
      </c>
      <c r="G166" s="6">
        <f t="shared" si="10"/>
        <v>-2682.3999999999996</v>
      </c>
      <c r="H166" s="6">
        <f t="shared" si="8"/>
        <v>0</v>
      </c>
    </row>
    <row r="167" spans="1:8" x14ac:dyDescent="0.25">
      <c r="A167" s="5">
        <v>58</v>
      </c>
      <c r="B167" s="2"/>
      <c r="C167" s="2">
        <v>4573.3</v>
      </c>
      <c r="F167">
        <f t="shared" si="9"/>
        <v>58</v>
      </c>
      <c r="G167" s="6">
        <f t="shared" si="10"/>
        <v>0</v>
      </c>
      <c r="H167" s="6">
        <f t="shared" si="8"/>
        <v>4573.3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U28"/>
  <sheetViews>
    <sheetView showGridLines="0" tabSelected="1" zoomScaleNormal="100" workbookViewId="0">
      <selection activeCell="A11" sqref="A11"/>
    </sheetView>
  </sheetViews>
  <sheetFormatPr defaultRowHeight="15" x14ac:dyDescent="0.25"/>
  <cols>
    <col min="1" max="1" width="4.5703125" customWidth="1"/>
    <col min="2" max="2" width="6.140625" customWidth="1"/>
    <col min="3" max="3" width="15.85546875" customWidth="1"/>
    <col min="4" max="4" width="6.85546875" customWidth="1"/>
    <col min="5" max="6" width="5.7109375" customWidth="1"/>
    <col min="7" max="7" width="15.85546875" customWidth="1"/>
    <col min="8" max="8" width="6.85546875" customWidth="1"/>
    <col min="9" max="10" width="5.7109375" customWidth="1"/>
    <col min="11" max="11" width="15.85546875" customWidth="1"/>
    <col min="12" max="12" width="6.85546875" customWidth="1"/>
    <col min="13" max="14" width="5.7109375" customWidth="1"/>
    <col min="15" max="15" width="15.85546875" customWidth="1"/>
    <col min="16" max="16" width="6.85546875" customWidth="1"/>
    <col min="17" max="18" width="5.7109375" customWidth="1"/>
  </cols>
  <sheetData>
    <row r="1" spans="2:21" s="7" customFormat="1" ht="47.1" customHeight="1" x14ac:dyDescent="0.25">
      <c r="C1" s="8" t="s">
        <v>57</v>
      </c>
      <c r="P1" s="22" t="str">
        <f>Pivot!I8</f>
        <v>May-2018</v>
      </c>
      <c r="S1" s="25" t="s">
        <v>61</v>
      </c>
      <c r="T1" s="25"/>
      <c r="U1" s="25"/>
    </row>
    <row r="3" spans="2:21" x14ac:dyDescent="0.25">
      <c r="C3" t="s">
        <v>62</v>
      </c>
    </row>
    <row r="5" spans="2:21" x14ac:dyDescent="0.25">
      <c r="C5" s="29" t="s">
        <v>21</v>
      </c>
      <c r="D5" s="30"/>
      <c r="G5" s="31" t="str">
        <f>Pivot!J1</f>
        <v>Quantity</v>
      </c>
      <c r="H5" s="32"/>
      <c r="K5" s="31" t="str">
        <f>Pivot!K1</f>
        <v>Orders</v>
      </c>
      <c r="L5" s="32"/>
      <c r="O5" s="31" t="str">
        <f>Pivot!L1</f>
        <v>Customers</v>
      </c>
      <c r="P5" s="32"/>
    </row>
    <row r="6" spans="2:21" ht="18.75" x14ac:dyDescent="0.3">
      <c r="B6" s="23" t="str">
        <f>Pivot!I8</f>
        <v>May-2018</v>
      </c>
      <c r="C6" s="9">
        <f>Pivot!I2</f>
        <v>81789.350000000049</v>
      </c>
      <c r="D6" s="10">
        <f>Pivot!I4</f>
        <v>-3.6302430707543243E-2</v>
      </c>
      <c r="G6" s="18">
        <f>Pivot!J2</f>
        <v>17247</v>
      </c>
      <c r="H6" s="19">
        <f>Pivot!J4</f>
        <v>-6.2510191879110777E-2</v>
      </c>
      <c r="K6" s="18">
        <f>Pivot!K2</f>
        <v>2087</v>
      </c>
      <c r="L6" s="19">
        <f>Pivot!K4</f>
        <v>-2.7039627039627034E-2</v>
      </c>
      <c r="O6" s="18">
        <f>Pivot!L2</f>
        <v>345</v>
      </c>
      <c r="P6" s="19">
        <f>Pivot!L4</f>
        <v>0</v>
      </c>
    </row>
    <row r="7" spans="2:21" x14ac:dyDescent="0.25">
      <c r="B7" s="23" t="str">
        <f>Pivot!I9</f>
        <v>May-2017</v>
      </c>
      <c r="C7" s="11">
        <f>Pivot!I3</f>
        <v>84870.349999999991</v>
      </c>
      <c r="D7" s="12"/>
      <c r="G7" s="20">
        <f>Pivot!J3</f>
        <v>18397</v>
      </c>
      <c r="H7" s="21"/>
      <c r="K7" s="20">
        <f>Pivot!K3</f>
        <v>2145</v>
      </c>
      <c r="L7" s="21"/>
      <c r="O7" s="20">
        <f>Pivot!L3</f>
        <v>345</v>
      </c>
      <c r="P7" s="21"/>
    </row>
    <row r="8" spans="2:21" x14ac:dyDescent="0.25">
      <c r="B8" s="24" t="s">
        <v>28</v>
      </c>
      <c r="C8" s="33"/>
      <c r="D8" s="34"/>
      <c r="G8" s="35"/>
      <c r="H8" s="36"/>
      <c r="K8" s="35"/>
      <c r="L8" s="36"/>
      <c r="O8" s="35"/>
      <c r="P8" s="36"/>
    </row>
    <row r="11" spans="2:21" x14ac:dyDescent="0.25">
      <c r="C11" s="37" t="s">
        <v>58</v>
      </c>
      <c r="D11" s="37"/>
      <c r="E11" s="37"/>
      <c r="F11" s="37"/>
      <c r="G11" s="37"/>
      <c r="I11" s="37" t="s">
        <v>59</v>
      </c>
      <c r="J11" s="37"/>
      <c r="K11" s="37"/>
      <c r="L11" s="4"/>
      <c r="M11" s="37" t="s">
        <v>60</v>
      </c>
      <c r="N11" s="37"/>
      <c r="O11" s="37"/>
      <c r="P11" s="37"/>
    </row>
    <row r="13" spans="2:21" x14ac:dyDescent="0.25">
      <c r="C13" s="15" t="str">
        <f>Pivot!R44</f>
        <v>Store</v>
      </c>
      <c r="D13" s="38" t="str">
        <f>Pivot!S44</f>
        <v>Now</v>
      </c>
      <c r="E13" s="38"/>
      <c r="F13" s="16" t="str">
        <f>Pivot!U44</f>
        <v>% Var</v>
      </c>
      <c r="G13" s="17" t="s">
        <v>28</v>
      </c>
    </row>
    <row r="14" spans="2:21" ht="14.45" customHeight="1" x14ac:dyDescent="0.25">
      <c r="C14" s="13" t="str">
        <f>Pivot!R45</f>
        <v>Ballarat</v>
      </c>
      <c r="D14" s="26">
        <f>Pivot!S45</f>
        <v>13829.399999999998</v>
      </c>
      <c r="E14" s="26"/>
      <c r="F14" s="14">
        <f>Pivot!U45</f>
        <v>-1.3077469286680521E-2</v>
      </c>
      <c r="G14" s="13"/>
      <c r="I14" s="27" t="str">
        <f>Pivot!P100</f>
        <v>Top 5 Products</v>
      </c>
      <c r="J14" s="27"/>
      <c r="K14" s="27"/>
    </row>
    <row r="15" spans="2:21" ht="14.45" customHeight="1" x14ac:dyDescent="0.25">
      <c r="C15" s="13" t="str">
        <f>Pivot!R46</f>
        <v>Geelong</v>
      </c>
      <c r="D15" s="26">
        <f>Pivot!S46</f>
        <v>13314</v>
      </c>
      <c r="E15" s="26"/>
      <c r="F15" s="14">
        <f>Pivot!U46</f>
        <v>0.39817693018566747</v>
      </c>
      <c r="G15" s="13"/>
      <c r="I15" s="27"/>
      <c r="J15" s="27"/>
      <c r="K15" s="27"/>
    </row>
    <row r="16" spans="2:21" x14ac:dyDescent="0.25">
      <c r="C16" s="13" t="str">
        <f>Pivot!R47</f>
        <v>Bendigo</v>
      </c>
      <c r="D16" s="26">
        <f>Pivot!S47</f>
        <v>13249.500000000002</v>
      </c>
      <c r="E16" s="26"/>
      <c r="F16" s="14">
        <f>Pivot!U47</f>
        <v>0.22773772679256532</v>
      </c>
      <c r="G16" s="13"/>
      <c r="I16" s="28" t="str">
        <f>Pivot!P101</f>
        <v>Make up 21% of sales.</v>
      </c>
      <c r="J16" s="28"/>
      <c r="K16" s="28"/>
    </row>
    <row r="17" spans="3:7" x14ac:dyDescent="0.25">
      <c r="C17" s="13" t="str">
        <f>Pivot!R48</f>
        <v>Mackay</v>
      </c>
      <c r="D17" s="26">
        <f>Pivot!S48</f>
        <v>11588.950000000003</v>
      </c>
      <c r="E17" s="26"/>
      <c r="F17" s="14">
        <f>Pivot!U48</f>
        <v>-7.6419466283068282E-2</v>
      </c>
      <c r="G17" s="13"/>
    </row>
    <row r="18" spans="3:7" x14ac:dyDescent="0.25">
      <c r="C18" s="13" t="str">
        <f>Pivot!R49</f>
        <v>Cairns</v>
      </c>
      <c r="D18" s="26">
        <f>Pivot!S49</f>
        <v>11284.450000000004</v>
      </c>
      <c r="E18" s="26"/>
      <c r="F18" s="14">
        <f>Pivot!U49</f>
        <v>-0.14676571774224023</v>
      </c>
      <c r="G18" s="13"/>
    </row>
    <row r="19" spans="3:7" x14ac:dyDescent="0.25">
      <c r="C19" s="13" t="str">
        <f>Pivot!R50</f>
        <v>Townsville</v>
      </c>
      <c r="D19" s="26">
        <f>Pivot!S50</f>
        <v>11233.65</v>
      </c>
      <c r="E19" s="26"/>
      <c r="F19" s="14">
        <f>Pivot!U50</f>
        <v>-6.0212180468420806E-3</v>
      </c>
      <c r="G19" s="13"/>
    </row>
    <row r="20" spans="3:7" x14ac:dyDescent="0.25">
      <c r="C20" s="13" t="str">
        <f>Pivot!R51</f>
        <v>Gold Coast</v>
      </c>
      <c r="D20" s="26">
        <f>Pivot!S51</f>
        <v>11135.299999999997</v>
      </c>
      <c r="E20" s="26"/>
      <c r="F20" s="14">
        <f>Pivot!U51</f>
        <v>0.21157026591809247</v>
      </c>
      <c r="G20" s="13"/>
    </row>
    <row r="21" spans="3:7" x14ac:dyDescent="0.25">
      <c r="C21" s="13" t="str">
        <f>Pivot!R52</f>
        <v>Newcastle</v>
      </c>
      <c r="D21" s="26">
        <f>Pivot!S52</f>
        <v>10860.800000000003</v>
      </c>
      <c r="E21" s="26"/>
      <c r="F21" s="14">
        <f>Pivot!U52</f>
        <v>-0.10095320085924642</v>
      </c>
      <c r="G21" s="13"/>
    </row>
    <row r="22" spans="3:7" x14ac:dyDescent="0.25">
      <c r="C22" s="13" t="str">
        <f>Pivot!R53</f>
        <v>Wollongong</v>
      </c>
      <c r="D22" s="26">
        <f>Pivot!S53</f>
        <v>10736.849999999999</v>
      </c>
      <c r="E22" s="26"/>
      <c r="F22" s="14">
        <f>Pivot!U53</f>
        <v>-0.12813443986098039</v>
      </c>
      <c r="G22" s="13"/>
    </row>
    <row r="23" spans="3:7" x14ac:dyDescent="0.25">
      <c r="C23" s="13" t="str">
        <f>Pivot!R54</f>
        <v>Rockhampton</v>
      </c>
      <c r="D23" s="26">
        <f>Pivot!S54</f>
        <v>10686.999999999995</v>
      </c>
      <c r="E23" s="26"/>
      <c r="F23" s="14">
        <f>Pivot!U54</f>
        <v>-0.27380337582560965</v>
      </c>
      <c r="G23" s="13"/>
    </row>
    <row r="24" spans="3:7" x14ac:dyDescent="0.25">
      <c r="C24" s="13" t="str">
        <f>Pivot!R55</f>
        <v>Central Coast</v>
      </c>
      <c r="D24" s="26">
        <f>Pivot!S55</f>
        <v>10530.199999999999</v>
      </c>
      <c r="E24" s="26"/>
      <c r="F24" s="14">
        <f>Pivot!U55</f>
        <v>-0.15167627356913604</v>
      </c>
      <c r="G24" s="13"/>
    </row>
    <row r="25" spans="3:7" x14ac:dyDescent="0.25">
      <c r="C25" s="13" t="str">
        <f>Pivot!R56</f>
        <v>Hobart</v>
      </c>
      <c r="D25" s="26">
        <f>Pivot!S56</f>
        <v>10325.449999999999</v>
      </c>
      <c r="E25" s="26"/>
      <c r="F25" s="14">
        <f>Pivot!U56</f>
        <v>-0.19268719849256033</v>
      </c>
      <c r="G25" s="13"/>
    </row>
    <row r="26" spans="3:7" x14ac:dyDescent="0.25">
      <c r="C26" s="13" t="str">
        <f>Pivot!R57</f>
        <v>Darwin</v>
      </c>
      <c r="D26" s="26">
        <f>Pivot!S57</f>
        <v>10279.899999999996</v>
      </c>
      <c r="E26" s="26"/>
      <c r="F26" s="14">
        <f>Pivot!U57</f>
        <v>-0.19080754728862848</v>
      </c>
      <c r="G26" s="13"/>
    </row>
    <row r="27" spans="3:7" x14ac:dyDescent="0.25">
      <c r="C27" s="13" t="str">
        <f>Pivot!R58</f>
        <v>Canberra</v>
      </c>
      <c r="D27" s="26">
        <f>Pivot!S58</f>
        <v>10162.349999999997</v>
      </c>
      <c r="E27" s="26"/>
      <c r="F27" s="14">
        <f>Pivot!U58</f>
        <v>-6.9403173004281338E-2</v>
      </c>
      <c r="G27" s="13"/>
    </row>
    <row r="28" spans="3:7" x14ac:dyDescent="0.25">
      <c r="C28" s="13" t="str">
        <f>Pivot!R59</f>
        <v>Sunshine Coast</v>
      </c>
      <c r="D28" s="26">
        <f>Pivot!S59</f>
        <v>10040.399999999998</v>
      </c>
      <c r="E28" s="26"/>
      <c r="F28" s="14">
        <f>Pivot!U59</f>
        <v>-0.1383923591147419</v>
      </c>
      <c r="G28" s="13"/>
    </row>
  </sheetData>
  <mergeCells count="30">
    <mergeCell ref="M11:P11"/>
    <mergeCell ref="D13:E13"/>
    <mergeCell ref="D14:E14"/>
    <mergeCell ref="D15:E15"/>
    <mergeCell ref="I11:K11"/>
    <mergeCell ref="C11:G11"/>
    <mergeCell ref="C5:D5"/>
    <mergeCell ref="G5:H5"/>
    <mergeCell ref="K5:L5"/>
    <mergeCell ref="O5:P5"/>
    <mergeCell ref="C8:D8"/>
    <mergeCell ref="O8:P8"/>
    <mergeCell ref="K8:L8"/>
    <mergeCell ref="G8:H8"/>
    <mergeCell ref="S1:U1"/>
    <mergeCell ref="D26:E26"/>
    <mergeCell ref="D27:E27"/>
    <mergeCell ref="D28:E28"/>
    <mergeCell ref="I14:K15"/>
    <mergeCell ref="I16:K16"/>
    <mergeCell ref="D21:E21"/>
    <mergeCell ref="D22:E22"/>
    <mergeCell ref="D23:E23"/>
    <mergeCell ref="D24:E24"/>
    <mergeCell ref="D25:E25"/>
    <mergeCell ref="D16:E16"/>
    <mergeCell ref="D17:E17"/>
    <mergeCell ref="D18:E18"/>
    <mergeCell ref="D19:E19"/>
    <mergeCell ref="D20:E20"/>
  </mergeCells>
  <conditionalFormatting sqref="F14:F28">
    <cfRule type="cellIs" dxfId="1" priority="1" operator="lessThan">
      <formula>-0.15</formula>
    </cfRule>
    <cfRule type="cellIs" dxfId="0" priority="2" operator="greaterThan">
      <formula>0.1</formula>
    </cfRule>
  </conditionalFormatting>
  <pageMargins left="0.7" right="0.7" top="0.75" bottom="0.75" header="0.3" footer="0.3"/>
  <pageSetup paperSize="9" scale="9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Option Button 1">
              <controlPr defaultSize="0" print="0" autoFill="0" autoLine="0" autoPict="0">
                <anchor moveWithCells="1">
                  <from>
                    <xdr:col>8</xdr:col>
                    <xdr:colOff>161925</xdr:colOff>
                    <xdr:row>11</xdr:row>
                    <xdr:rowOff>66675</xdr:rowOff>
                  </from>
                  <to>
                    <xdr:col>9</xdr:col>
                    <xdr:colOff>314325</xdr:colOff>
                    <xdr:row>12</xdr:row>
                    <xdr:rowOff>104775</xdr:rowOff>
                  </to>
                </anchor>
              </controlPr>
            </control>
          </mc:Choice>
        </mc:AlternateContent>
        <mc:AlternateContent xmlns:mc="http://schemas.openxmlformats.org/markup-compatibility/2006">
          <mc:Choice Requires="x14">
            <control shapeId="3074" r:id="rId5" name="Option Button 2">
              <controlPr defaultSize="0" print="0" autoFill="0" autoLine="0" autoPict="0">
                <anchor moveWithCells="1">
                  <from>
                    <xdr:col>10</xdr:col>
                    <xdr:colOff>257175</xdr:colOff>
                    <xdr:row>11</xdr:row>
                    <xdr:rowOff>28575</xdr:rowOff>
                  </from>
                  <to>
                    <xdr:col>10</xdr:col>
                    <xdr:colOff>847725</xdr:colOff>
                    <xdr:row>12</xdr:row>
                    <xdr:rowOff>95250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6" id="{67ACE161-6BF5-4952-9F2F-39AB6B309AF8}">
            <x14:iconSet iconSet="3Triangles">
              <x14:cfvo type="percent">
                <xm:f>0</xm:f>
              </x14:cfvo>
              <x14:cfvo type="num">
                <xm:f>0</xm:f>
              </x14:cfvo>
              <x14:cfvo type="num" gte="0">
                <xm:f>0</xm:f>
              </x14:cfvo>
            </x14:iconSet>
          </x14:cfRule>
          <xm:sqref>D6</xm:sqref>
        </x14:conditionalFormatting>
        <x14:conditionalFormatting xmlns:xm="http://schemas.microsoft.com/office/excel/2006/main">
          <x14:cfRule type="iconSet" priority="5" id="{7BDCA02F-F704-4FD9-883D-869C6298539A}">
            <x14:iconSet iconSet="3Triangles">
              <x14:cfvo type="percent">
                <xm:f>0</xm:f>
              </x14:cfvo>
              <x14:cfvo type="num">
                <xm:f>0</xm:f>
              </x14:cfvo>
              <x14:cfvo type="num" gte="0">
                <xm:f>0</xm:f>
              </x14:cfvo>
            </x14:iconSet>
          </x14:cfRule>
          <xm:sqref>H6</xm:sqref>
        </x14:conditionalFormatting>
        <x14:conditionalFormatting xmlns:xm="http://schemas.microsoft.com/office/excel/2006/main">
          <x14:cfRule type="iconSet" priority="4" id="{B76FF429-DEC4-4771-BB4D-5C2C0B7C4BB5}">
            <x14:iconSet iconSet="3Triangles">
              <x14:cfvo type="percent">
                <xm:f>0</xm:f>
              </x14:cfvo>
              <x14:cfvo type="num">
                <xm:f>0</xm:f>
              </x14:cfvo>
              <x14:cfvo type="num" gte="0">
                <xm:f>0</xm:f>
              </x14:cfvo>
            </x14:iconSet>
          </x14:cfRule>
          <xm:sqref>L6</xm:sqref>
        </x14:conditionalFormatting>
        <x14:conditionalFormatting xmlns:xm="http://schemas.microsoft.com/office/excel/2006/main">
          <x14:cfRule type="iconSet" priority="3" id="{93FDC4FA-B2BF-4ED9-963C-79360CE66A08}">
            <x14:iconSet iconSet="3Triangles">
              <x14:cfvo type="percent">
                <xm:f>0</xm:f>
              </x14:cfvo>
              <x14:cfvo type="num">
                <xm:f>0</xm:f>
              </x14:cfvo>
              <x14:cfvo type="num" gte="0">
                <xm:f>0</xm:f>
              </x14:cfvo>
            </x14:iconSet>
          </x14:cfRule>
          <xm:sqref>P6</xm:sqref>
        </x14:conditionalFormatting>
      </x14:conditionalFormattings>
    </ext>
    <ext xmlns:x14="http://schemas.microsoft.com/office/spreadsheetml/2009/9/main" uri="{05C60535-1F16-4fd2-B633-F4F36F0B64E0}">
      <x14:sparklineGroups xmlns:xm="http://schemas.microsoft.com/office/excel/2006/main">
        <x14:sparklineGroup lineWeight="1.5" displayEmptyCellsAs="gap" xr2:uid="{00000000-0003-0000-0200-000000000000}">
          <x14:colorSeries rgb="FF376092"/>
          <x14:colorNegative rgb="FFD00000"/>
          <x14:colorAxis rgb="FF000000"/>
          <x14:colorMarkers rgb="FFD00000"/>
          <x14:colorFirst rgb="FFD00000"/>
          <x14:colorLast rgb="FFD00000"/>
          <x14:colorHigh rgb="FFD00000"/>
          <x14:colorLow rgb="FFD00000"/>
          <x14:sparklines>
            <x14:sparkline>
              <xm:f>Pivot!C2:C14</xm:f>
              <xm:sqref>C8</xm:sqref>
            </x14:sparkline>
            <x14:sparkline>
              <xm:f>Pivot!D2:D14</xm:f>
              <xm:sqref>G8</xm:sqref>
            </x14:sparkline>
            <x14:sparkline>
              <xm:f>Pivot!E2:E14</xm:f>
              <xm:sqref>K8</xm:sqref>
            </x14:sparkline>
            <x14:sparkline>
              <xm:f>Pivot!F2:F14</xm:f>
              <xm:sqref>O8</xm:sqref>
            </x14:sparkline>
          </x14:sparklines>
        </x14:sparklineGroup>
        <x14:sparklineGroup manualMin="0" type="column" displayEmptyCellsAs="gap" minAxisType="custom" xr2:uid="{00000000-0003-0000-0200-000001000000}">
          <x14:colorSeries theme="1" tint="0.499984740745262"/>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Pivot!B45:N45</xm:f>
              <xm:sqref>G14</xm:sqref>
            </x14:sparkline>
            <x14:sparkline>
              <xm:f>Pivot!B46:N46</xm:f>
              <xm:sqref>G15</xm:sqref>
            </x14:sparkline>
            <x14:sparkline>
              <xm:f>Pivot!B47:N47</xm:f>
              <xm:sqref>G16</xm:sqref>
            </x14:sparkline>
            <x14:sparkline>
              <xm:f>Pivot!B48:N48</xm:f>
              <xm:sqref>G17</xm:sqref>
            </x14:sparkline>
            <x14:sparkline>
              <xm:f>Pivot!B49:N49</xm:f>
              <xm:sqref>G18</xm:sqref>
            </x14:sparkline>
            <x14:sparkline>
              <xm:f>Pivot!B50:N50</xm:f>
              <xm:sqref>G19</xm:sqref>
            </x14:sparkline>
            <x14:sparkline>
              <xm:f>Pivot!B51:N51</xm:f>
              <xm:sqref>G20</xm:sqref>
            </x14:sparkline>
            <x14:sparkline>
              <xm:f>Pivot!B52:N52</xm:f>
              <xm:sqref>G21</xm:sqref>
            </x14:sparkline>
            <x14:sparkline>
              <xm:f>Pivot!B53:N53</xm:f>
              <xm:sqref>G22</xm:sqref>
            </x14:sparkline>
            <x14:sparkline>
              <xm:f>Pivot!B54:N54</xm:f>
              <xm:sqref>G23</xm:sqref>
            </x14:sparkline>
            <x14:sparkline>
              <xm:f>Pivot!B55:N55</xm:f>
              <xm:sqref>G24</xm:sqref>
            </x14:sparkline>
            <x14:sparkline>
              <xm:f>Pivot!B56:N56</xm:f>
              <xm:sqref>G25</xm:sqref>
            </x14:sparkline>
            <x14:sparkline>
              <xm:f>Pivot!B57:N57</xm:f>
              <xm:sqref>G26</xm:sqref>
            </x14:sparkline>
            <x14:sparkline>
              <xm:f>Pivot!B58:N58</xm:f>
              <xm:sqref>G27</xm:sqref>
            </x14:sparkline>
            <x14:sparkline>
              <xm:f>Pivot!B59:N59</xm:f>
              <xm:sqref>G28</xm:sqref>
            </x14:sparkline>
          </x14:sparklines>
        </x14:sparklineGroup>
      </x14:sparklineGroups>
    </ex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89FF1E1-48B7-4907-A03D-551CF7383210}">
  <ds:schemaRefs/>
</ds:datastoreItem>
</file>

<file path=customXml/itemProps2.xml><?xml version="1.0" encoding="utf-8"?>
<ds:datastoreItem xmlns:ds="http://schemas.openxmlformats.org/officeDocument/2006/customXml" ds:itemID="{2CC3A81C-012C-4376-8711-6CF9578F54FA}">
  <ds:schemaRefs>
    <ds:schemaRef ds:uri="http://schemas.microsoft.com/DataMashup"/>
  </ds:schemaRefs>
</ds:datastoreItem>
</file>

<file path=customXml/itemProps3.xml><?xml version="1.0" encoding="utf-8"?>
<ds:datastoreItem xmlns:ds="http://schemas.openxmlformats.org/officeDocument/2006/customXml" ds:itemID="{27309535-77E6-4B16-8AB0-D8EF809CD1F5}">
  <ds:schemaRefs/>
</ds:datastoreItem>
</file>

<file path=customXml/itemProps4.xml><?xml version="1.0" encoding="utf-8"?>
<ds:datastoreItem xmlns:ds="http://schemas.openxmlformats.org/officeDocument/2006/customXml" ds:itemID="{02629435-A90B-463F-963E-ACF25696D51C}">
  <ds:schemaRefs/>
</ds:datastoreItem>
</file>

<file path=customXml/itemProps5.xml><?xml version="1.0" encoding="utf-8"?>
<ds:datastoreItem xmlns:ds="http://schemas.openxmlformats.org/officeDocument/2006/customXml" ds:itemID="{A3850548-6C3D-407B-905F-7884DD4EB86D}">
  <ds:schemaRefs/>
</ds:datastoreItem>
</file>

<file path=customXml/itemProps6.xml><?xml version="1.0" encoding="utf-8"?>
<ds:datastoreItem xmlns:ds="http://schemas.openxmlformats.org/officeDocument/2006/customXml" ds:itemID="{7AFA7F8E-C0E3-419C-8280-4CFDB30159EE}">
  <ds:schemaRefs/>
</ds:datastoreItem>
</file>

<file path=customXml/itemProps7.xml><?xml version="1.0" encoding="utf-8"?>
<ds:datastoreItem xmlns:ds="http://schemas.openxmlformats.org/officeDocument/2006/customXml" ds:itemID="{1E9D0AB8-FA0A-4BB8-AE92-3F0CF2AB241F}">
  <ds:schemaRefs/>
</ds:datastoreItem>
</file>

<file path=customXml/itemProps8.xml><?xml version="1.0" encoding="utf-8"?>
<ds:datastoreItem xmlns:ds="http://schemas.openxmlformats.org/officeDocument/2006/customXml" ds:itemID="{D33DDC6E-9596-49F7-9512-F32172CA8BF5}">
  <ds:schemaRefs/>
</ds:datastoreItem>
</file>

<file path=customXml/itemProps9.xml><?xml version="1.0" encoding="utf-8"?>
<ds:datastoreItem xmlns:ds="http://schemas.openxmlformats.org/officeDocument/2006/customXml" ds:itemID="{F0C90955-765D-4AC5-AC73-66C7805050C0}">
  <ds:schemaRefs/>
</ds:datastoreItem>
</file>

<file path=customXml/itemProps10.xml><?xml version="1.0" encoding="utf-8"?>
<ds:datastoreItem xmlns:ds="http://schemas.openxmlformats.org/officeDocument/2006/customXml" ds:itemID="{A33BCC6C-924F-43EB-8C81-C5575F3C0559}">
  <ds:schemaRefs/>
</ds:datastoreItem>
</file>

<file path=customXml/itemProps11.xml><?xml version="1.0" encoding="utf-8"?>
<ds:datastoreItem xmlns:ds="http://schemas.openxmlformats.org/officeDocument/2006/customXml" ds:itemID="{D2171E3A-0316-43EA-A55A-7590A13D2E46}">
  <ds:schemaRefs/>
</ds:datastoreItem>
</file>

<file path=customXml/itemProps12.xml><?xml version="1.0" encoding="utf-8"?>
<ds:datastoreItem xmlns:ds="http://schemas.openxmlformats.org/officeDocument/2006/customXml" ds:itemID="{7F2AB15B-F715-4C51-ADC9-85553F9A7CB9}">
  <ds:schemaRefs/>
</ds:datastoreItem>
</file>

<file path=customXml/itemProps13.xml><?xml version="1.0" encoding="utf-8"?>
<ds:datastoreItem xmlns:ds="http://schemas.openxmlformats.org/officeDocument/2006/customXml" ds:itemID="{1F06E958-CB2F-4FF0-91D9-ABB34A7765AB}">
  <ds:schemaRefs/>
</ds:datastoreItem>
</file>

<file path=customXml/itemProps14.xml><?xml version="1.0" encoding="utf-8"?>
<ds:datastoreItem xmlns:ds="http://schemas.openxmlformats.org/officeDocument/2006/customXml" ds:itemID="{C209CD8A-A379-4B15-A5D0-082088BDAC97}">
  <ds:schemaRefs/>
</ds:datastoreItem>
</file>

<file path=customXml/itemProps15.xml><?xml version="1.0" encoding="utf-8"?>
<ds:datastoreItem xmlns:ds="http://schemas.openxmlformats.org/officeDocument/2006/customXml" ds:itemID="{878A8BE3-4AFF-4E06-946A-90A76EF18B00}">
  <ds:schemaRefs/>
</ds:datastoreItem>
</file>

<file path=customXml/itemProps16.xml><?xml version="1.0" encoding="utf-8"?>
<ds:datastoreItem xmlns:ds="http://schemas.openxmlformats.org/officeDocument/2006/customXml" ds:itemID="{07D08EE4-13A1-4A16-BCDE-B189D646D69E}">
  <ds:schemaRefs/>
</ds:datastoreItem>
</file>

<file path=customXml/itemProps17.xml><?xml version="1.0" encoding="utf-8"?>
<ds:datastoreItem xmlns:ds="http://schemas.openxmlformats.org/officeDocument/2006/customXml" ds:itemID="{5207199F-6FC1-459E-9DF3-DFA00B3B5C1C}">
  <ds:schemaRefs/>
</ds:datastoreItem>
</file>

<file path=customXml/itemProps18.xml><?xml version="1.0" encoding="utf-8"?>
<ds:datastoreItem xmlns:ds="http://schemas.openxmlformats.org/officeDocument/2006/customXml" ds:itemID="{38974654-4466-4FE6-8D5D-A0D87A541746}">
  <ds:schemaRefs/>
</ds:datastoreItem>
</file>

<file path=customXml/itemProps19.xml><?xml version="1.0" encoding="utf-8"?>
<ds:datastoreItem xmlns:ds="http://schemas.openxmlformats.org/officeDocument/2006/customXml" ds:itemID="{8CF16C36-22BB-4777-B385-CE8CA7DC3366}">
  <ds:schemaRefs/>
</ds:datastoreItem>
</file>

<file path=customXml/itemProps20.xml><?xml version="1.0" encoding="utf-8"?>
<ds:datastoreItem xmlns:ds="http://schemas.openxmlformats.org/officeDocument/2006/customXml" ds:itemID="{E720C943-98C3-49D9-80DF-217F37D987E5}">
  <ds:schemaRefs/>
</ds:datastoreItem>
</file>

<file path=customXml/itemProps21.xml><?xml version="1.0" encoding="utf-8"?>
<ds:datastoreItem xmlns:ds="http://schemas.openxmlformats.org/officeDocument/2006/customXml" ds:itemID="{FCE98F5B-E7C2-4B51-9D5F-99B5CB7E51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mockup</vt:lpstr>
      <vt:lpstr>Pivot</vt:lpstr>
      <vt:lpstr>Dashboard</vt:lpstr>
      <vt:lpstr>Dashboard!Print_Area</vt:lpstr>
      <vt:lpstr>top.or.bottom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dc:creator>
  <cp:lastModifiedBy>tushar garg</cp:lastModifiedBy>
  <cp:lastPrinted>2018-06-05T05:21:11Z</cp:lastPrinted>
  <dcterms:created xsi:type="dcterms:W3CDTF">2018-06-04T23:17:54Z</dcterms:created>
  <dcterms:modified xsi:type="dcterms:W3CDTF">2026-08-11T06:45:04Z</dcterms:modified>
</cp:coreProperties>
</file>